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003 Paper Submission - From Feb 2021\059 Applied Energy - Special Issue\Solar Irradiation-Power Data\9. May 2022\"/>
    </mc:Choice>
  </mc:AlternateContent>
  <xr:revisionPtr revIDLastSave="0" documentId="13_ncr:1_{ACFB8F91-96E9-45B9-A9CD-D9D16C29F1A7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ower_vs_Irradiance_rpt_18May20" sheetId="1" r:id="rId1"/>
  </sheets>
  <calcPr calcId="181029"/>
</workbook>
</file>

<file path=xl/calcChain.xml><?xml version="1.0" encoding="utf-8"?>
<calcChain xmlns="http://schemas.openxmlformats.org/spreadsheetml/2006/main">
  <c r="E159" i="1" l="1"/>
  <c r="E147" i="1"/>
  <c r="E135" i="1"/>
  <c r="E123" i="1"/>
  <c r="E112" i="1"/>
  <c r="E100" i="1"/>
  <c r="E88" i="1"/>
  <c r="E76" i="1"/>
  <c r="E64" i="1"/>
  <c r="E53" i="1"/>
  <c r="E41" i="1"/>
  <c r="E29" i="1"/>
  <c r="E17" i="1"/>
  <c r="E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5" i="1"/>
</calcChain>
</file>

<file path=xl/sharedStrings.xml><?xml version="1.0" encoding="utf-8"?>
<sst xmlns="http://schemas.openxmlformats.org/spreadsheetml/2006/main" count="4" uniqueCount="4">
  <si>
    <t>Time</t>
  </si>
  <si>
    <t>Irradiance [W/m²]</t>
  </si>
  <si>
    <t>Power [kW]</t>
  </si>
  <si>
    <t>Power = Radiation x Area x Efficiency (scaled and expressed in kW)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</si>
</sst>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9FDFF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F9FDFF"/>
      <name val="Calibri"/>
      <family val="2"/>
      <scheme val="minor"/>
    </font>
    <font>
      <b/>
      <sz val="1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A8F9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0" fontId="18" fillId="0" borderId="0" xfId="0" applyFont="1"/>
    <xf numFmtId="0" fontId="20" fillId="33" borderId="10" xfId="0" applyFont="1" applyFill="1" applyBorder="1" applyAlignment="1">
      <alignment wrapText="1"/>
    </xf>
    <xf numFmtId="22" fontId="19" fillId="0" borderId="10" xfId="0" applyNumberFormat="1" applyFont="1" applyBorder="1" applyAlignment="1">
      <alignment wrapText="1"/>
    </xf>
    <xf numFmtId="0" fontId="19" fillId="0" borderId="10" xfId="0" applyFont="1" applyBorder="1" applyAlignment="1">
      <alignment wrapText="1"/>
    </xf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21" fillId="0" borderId="16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http://web103.64.202.new.ocpwebserver.com/ExcelTemplate/img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177800</xdr:colOff>
      <xdr:row>2</xdr:row>
      <xdr:rowOff>107950</xdr:rowOff>
    </xdr:to>
    <xdr:pic>
      <xdr:nvPicPr>
        <xdr:cNvPr id="1025" name="Picture 1">
          <a:extLst>
            <a:ext uri="{FF2B5EF4-FFF2-40B4-BE49-F238E27FC236}">
              <a16:creationId xmlns:a16="http://schemas.microsoft.com/office/drawing/2014/main" id="{D5198F42-C94B-B301-B366-68E104A8B4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14300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69"/>
  <sheetViews>
    <sheetView showGridLines="0" tabSelected="1" workbookViewId="0">
      <selection activeCell="E1" sqref="E1:E1048576"/>
    </sheetView>
  </sheetViews>
  <sheetFormatPr defaultRowHeight="14.5" x14ac:dyDescent="0.35"/>
  <cols>
    <col min="1" max="1" width="13.81640625" bestFit="1" customWidth="1"/>
    <col min="2" max="2" width="14.81640625" bestFit="1" customWidth="1"/>
    <col min="3" max="3" width="10" bestFit="1" customWidth="1"/>
  </cols>
  <sheetData>
    <row r="1" spans="1:5" x14ac:dyDescent="0.35">
      <c r="A1" s="5"/>
      <c r="B1" s="6"/>
      <c r="C1" s="7"/>
    </row>
    <row r="2" spans="1:5" x14ac:dyDescent="0.35">
      <c r="A2" s="8"/>
      <c r="C2" s="9"/>
    </row>
    <row r="3" spans="1:5" ht="15" thickBot="1" x14ac:dyDescent="0.4">
      <c r="A3" s="8"/>
      <c r="C3" s="9"/>
    </row>
    <row r="4" spans="1:5" s="1" customFormat="1" ht="131" thickBot="1" x14ac:dyDescent="0.4">
      <c r="A4" s="2" t="s">
        <v>0</v>
      </c>
      <c r="B4" s="2" t="s">
        <v>1</v>
      </c>
      <c r="C4" s="2" t="s">
        <v>2</v>
      </c>
      <c r="D4" s="10" t="s">
        <v>3</v>
      </c>
    </row>
    <row r="5" spans="1:5" ht="15" thickBot="1" x14ac:dyDescent="0.4">
      <c r="A5" s="3">
        <v>44699.209224537037</v>
      </c>
      <c r="B5" s="4">
        <v>2</v>
      </c>
      <c r="C5" s="4">
        <v>0</v>
      </c>
      <c r="D5">
        <f>B5*1513.26*0.12/1000</f>
        <v>0.36318239999999996</v>
      </c>
      <c r="E5">
        <f>AVERAGE(D5:D16)</f>
        <v>0.42371279999999995</v>
      </c>
    </row>
    <row r="6" spans="1:5" ht="15" thickBot="1" x14ac:dyDescent="0.4">
      <c r="A6" s="3">
        <v>44699.212754629632</v>
      </c>
      <c r="B6" s="4">
        <v>2</v>
      </c>
      <c r="C6" s="4">
        <v>0</v>
      </c>
      <c r="D6">
        <f t="shared" ref="D6:D69" si="0">B6*1513.26*0.12/1000</f>
        <v>0.36318239999999996</v>
      </c>
    </row>
    <row r="7" spans="1:5" ht="15" thickBot="1" x14ac:dyDescent="0.4">
      <c r="A7" s="3">
        <v>44699.216284722221</v>
      </c>
      <c r="B7" s="4">
        <v>3</v>
      </c>
      <c r="C7" s="4">
        <v>0</v>
      </c>
      <c r="D7">
        <f t="shared" si="0"/>
        <v>0.54477359999999997</v>
      </c>
    </row>
    <row r="8" spans="1:5" ht="15" thickBot="1" x14ac:dyDescent="0.4">
      <c r="A8" s="3">
        <v>44699.219814814816</v>
      </c>
      <c r="B8" s="4">
        <v>2</v>
      </c>
      <c r="C8" s="4">
        <v>0</v>
      </c>
      <c r="D8">
        <f t="shared" si="0"/>
        <v>0.36318239999999996</v>
      </c>
    </row>
    <row r="9" spans="1:5" ht="15" thickBot="1" x14ac:dyDescent="0.4">
      <c r="A9" s="3">
        <v>44699.223344907405</v>
      </c>
      <c r="B9" s="4">
        <v>2</v>
      </c>
      <c r="C9" s="4">
        <v>0</v>
      </c>
      <c r="D9">
        <f t="shared" si="0"/>
        <v>0.36318239999999996</v>
      </c>
    </row>
    <row r="10" spans="1:5" ht="15" thickBot="1" x14ac:dyDescent="0.4">
      <c r="A10" s="3">
        <v>44699.226875</v>
      </c>
      <c r="B10" s="4">
        <v>2</v>
      </c>
      <c r="C10" s="4">
        <v>0</v>
      </c>
      <c r="D10">
        <f t="shared" si="0"/>
        <v>0.36318239999999996</v>
      </c>
    </row>
    <row r="11" spans="1:5" ht="15" thickBot="1" x14ac:dyDescent="0.4">
      <c r="A11" s="3">
        <v>44699.230405092596</v>
      </c>
      <c r="B11" s="4">
        <v>1</v>
      </c>
      <c r="C11" s="4">
        <v>0</v>
      </c>
      <c r="D11">
        <f t="shared" si="0"/>
        <v>0.18159119999999998</v>
      </c>
    </row>
    <row r="12" spans="1:5" ht="15" thickBot="1" x14ac:dyDescent="0.4">
      <c r="A12" s="3">
        <v>44699.233935185184</v>
      </c>
      <c r="B12" s="4">
        <v>2</v>
      </c>
      <c r="C12" s="4">
        <v>0</v>
      </c>
      <c r="D12">
        <f t="shared" si="0"/>
        <v>0.36318239999999996</v>
      </c>
    </row>
    <row r="13" spans="1:5" ht="15" thickBot="1" x14ac:dyDescent="0.4">
      <c r="A13" s="3">
        <v>44699.23746527778</v>
      </c>
      <c r="B13" s="4">
        <v>3</v>
      </c>
      <c r="C13" s="4">
        <v>0</v>
      </c>
      <c r="D13">
        <f t="shared" si="0"/>
        <v>0.54477359999999997</v>
      </c>
    </row>
    <row r="14" spans="1:5" ht="15" thickBot="1" x14ac:dyDescent="0.4">
      <c r="A14" s="3">
        <v>44699.240995370368</v>
      </c>
      <c r="B14" s="4">
        <v>3</v>
      </c>
      <c r="C14" s="4">
        <v>0</v>
      </c>
      <c r="D14">
        <f t="shared" si="0"/>
        <v>0.54477359999999997</v>
      </c>
    </row>
    <row r="15" spans="1:5" ht="15" thickBot="1" x14ac:dyDescent="0.4">
      <c r="A15" s="3">
        <v>44699.244525462964</v>
      </c>
      <c r="B15" s="4">
        <v>2</v>
      </c>
      <c r="C15" s="4">
        <v>0</v>
      </c>
      <c r="D15">
        <f t="shared" si="0"/>
        <v>0.36318239999999996</v>
      </c>
    </row>
    <row r="16" spans="1:5" ht="15" thickBot="1" x14ac:dyDescent="0.4">
      <c r="A16" s="3">
        <v>44699.248055555552</v>
      </c>
      <c r="B16" s="4">
        <v>4</v>
      </c>
      <c r="C16" s="4">
        <v>0</v>
      </c>
      <c r="D16">
        <f t="shared" si="0"/>
        <v>0.72636479999999992</v>
      </c>
    </row>
    <row r="17" spans="1:5" ht="15" thickBot="1" x14ac:dyDescent="0.4">
      <c r="A17" s="3">
        <v>44699.251585648148</v>
      </c>
      <c r="B17" s="4">
        <v>5</v>
      </c>
      <c r="C17" s="4">
        <v>0</v>
      </c>
      <c r="D17">
        <f t="shared" si="0"/>
        <v>0.90795599999999999</v>
      </c>
      <c r="E17">
        <f>AVERAGE(D17:D28)</f>
        <v>1.1954754000000001</v>
      </c>
    </row>
    <row r="18" spans="1:5" ht="15" thickBot="1" x14ac:dyDescent="0.4">
      <c r="A18" s="3">
        <v>44699.255115740743</v>
      </c>
      <c r="B18" s="4">
        <v>2</v>
      </c>
      <c r="C18" s="4">
        <v>0</v>
      </c>
      <c r="D18">
        <f t="shared" si="0"/>
        <v>0.36318239999999996</v>
      </c>
    </row>
    <row r="19" spans="1:5" ht="15" thickBot="1" x14ac:dyDescent="0.4">
      <c r="A19" s="3">
        <v>44699.258645833332</v>
      </c>
      <c r="B19" s="4">
        <v>2</v>
      </c>
      <c r="C19" s="4">
        <v>0</v>
      </c>
      <c r="D19">
        <f t="shared" si="0"/>
        <v>0.36318239999999996</v>
      </c>
    </row>
    <row r="20" spans="1:5" ht="15" thickBot="1" x14ac:dyDescent="0.4">
      <c r="A20" s="3">
        <v>44699.262175925927</v>
      </c>
      <c r="B20" s="4">
        <v>2</v>
      </c>
      <c r="C20" s="4">
        <v>0</v>
      </c>
      <c r="D20">
        <f t="shared" si="0"/>
        <v>0.36318239999999996</v>
      </c>
    </row>
    <row r="21" spans="1:5" ht="15" thickBot="1" x14ac:dyDescent="0.4">
      <c r="A21" s="3">
        <v>44699.265706018516</v>
      </c>
      <c r="B21" s="4">
        <v>2</v>
      </c>
      <c r="C21" s="4">
        <v>0</v>
      </c>
      <c r="D21">
        <f t="shared" si="0"/>
        <v>0.36318239999999996</v>
      </c>
    </row>
    <row r="22" spans="1:5" ht="15" thickBot="1" x14ac:dyDescent="0.4">
      <c r="A22" s="3">
        <v>44699.269236111111</v>
      </c>
      <c r="B22" s="4">
        <v>3</v>
      </c>
      <c r="C22" s="4">
        <v>0</v>
      </c>
      <c r="D22">
        <f t="shared" si="0"/>
        <v>0.54477359999999997</v>
      </c>
    </row>
    <row r="23" spans="1:5" ht="15" thickBot="1" x14ac:dyDescent="0.4">
      <c r="A23" s="3">
        <v>44699.272766203707</v>
      </c>
      <c r="B23" s="4">
        <v>6</v>
      </c>
      <c r="C23" s="4">
        <v>0</v>
      </c>
      <c r="D23">
        <f t="shared" si="0"/>
        <v>1.0895471999999999</v>
      </c>
    </row>
    <row r="24" spans="1:5" ht="15" thickBot="1" x14ac:dyDescent="0.4">
      <c r="A24" s="3">
        <v>44699.276296296295</v>
      </c>
      <c r="B24" s="4">
        <v>6</v>
      </c>
      <c r="C24" s="4">
        <v>0</v>
      </c>
      <c r="D24">
        <f t="shared" si="0"/>
        <v>1.0895471999999999</v>
      </c>
    </row>
    <row r="25" spans="1:5" ht="15" thickBot="1" x14ac:dyDescent="0.4">
      <c r="A25" s="3">
        <v>44699.279826388891</v>
      </c>
      <c r="B25" s="4">
        <v>6</v>
      </c>
      <c r="C25" s="4">
        <v>0</v>
      </c>
      <c r="D25">
        <f t="shared" si="0"/>
        <v>1.0895471999999999</v>
      </c>
    </row>
    <row r="26" spans="1:5" ht="15" thickBot="1" x14ac:dyDescent="0.4">
      <c r="A26" s="3">
        <v>44699.283356481479</v>
      </c>
      <c r="B26" s="4">
        <v>8</v>
      </c>
      <c r="C26" s="4">
        <v>0.37</v>
      </c>
      <c r="D26">
        <f t="shared" si="0"/>
        <v>1.4527295999999998</v>
      </c>
    </row>
    <row r="27" spans="1:5" ht="15" thickBot="1" x14ac:dyDescent="0.4">
      <c r="A27" s="3">
        <v>44699.286886574075</v>
      </c>
      <c r="B27" s="4">
        <v>15</v>
      </c>
      <c r="C27" s="4">
        <v>1.07</v>
      </c>
      <c r="D27">
        <f t="shared" si="0"/>
        <v>2.723868</v>
      </c>
    </row>
    <row r="28" spans="1:5" ht="15" thickBot="1" x14ac:dyDescent="0.4">
      <c r="A28" s="3">
        <v>44699.290416666663</v>
      </c>
      <c r="B28" s="4">
        <v>22</v>
      </c>
      <c r="C28" s="4">
        <v>2.25</v>
      </c>
      <c r="D28">
        <f t="shared" si="0"/>
        <v>3.9950064000000003</v>
      </c>
    </row>
    <row r="29" spans="1:5" ht="15" thickBot="1" x14ac:dyDescent="0.4">
      <c r="A29" s="3">
        <v>44699.293946759259</v>
      </c>
      <c r="B29" s="4">
        <v>29</v>
      </c>
      <c r="C29" s="4">
        <v>3.12</v>
      </c>
      <c r="D29">
        <f t="shared" si="0"/>
        <v>5.2661448000000002</v>
      </c>
      <c r="E29">
        <f>AVERAGE(D29:D40)</f>
        <v>21.367231199999996</v>
      </c>
    </row>
    <row r="30" spans="1:5" ht="15" thickBot="1" x14ac:dyDescent="0.4">
      <c r="A30" s="3">
        <v>44699.297488425924</v>
      </c>
      <c r="B30" s="4">
        <v>37</v>
      </c>
      <c r="C30" s="4">
        <v>4.28</v>
      </c>
      <c r="D30">
        <f t="shared" si="0"/>
        <v>6.7188743999999998</v>
      </c>
    </row>
    <row r="31" spans="1:5" ht="15" thickBot="1" x14ac:dyDescent="0.4">
      <c r="A31" s="3">
        <v>44699.301018518519</v>
      </c>
      <c r="B31" s="4">
        <v>56</v>
      </c>
      <c r="C31" s="4">
        <v>5.92</v>
      </c>
      <c r="D31">
        <f t="shared" si="0"/>
        <v>10.169107199999999</v>
      </c>
    </row>
    <row r="32" spans="1:5" ht="15" thickBot="1" x14ac:dyDescent="0.4">
      <c r="A32" s="3">
        <v>44699.304548611108</v>
      </c>
      <c r="B32" s="4">
        <v>68</v>
      </c>
      <c r="C32" s="4">
        <v>7.71</v>
      </c>
      <c r="D32">
        <f t="shared" si="0"/>
        <v>12.348201599999998</v>
      </c>
    </row>
    <row r="33" spans="1:5" ht="15" thickBot="1" x14ac:dyDescent="0.4">
      <c r="A33" s="3">
        <v>44699.308078703703</v>
      </c>
      <c r="B33" s="4">
        <v>88</v>
      </c>
      <c r="C33" s="4">
        <v>10.029999999999999</v>
      </c>
      <c r="D33">
        <f t="shared" si="0"/>
        <v>15.980025600000001</v>
      </c>
    </row>
    <row r="34" spans="1:5" ht="15" thickBot="1" x14ac:dyDescent="0.4">
      <c r="A34" s="3">
        <v>44699.311608796299</v>
      </c>
      <c r="B34" s="4">
        <v>106</v>
      </c>
      <c r="C34" s="4">
        <v>11.89</v>
      </c>
      <c r="D34">
        <f t="shared" si="0"/>
        <v>19.2486672</v>
      </c>
    </row>
    <row r="35" spans="1:5" ht="15" thickBot="1" x14ac:dyDescent="0.4">
      <c r="A35" s="3">
        <v>44699.315138888887</v>
      </c>
      <c r="B35" s="4">
        <v>124</v>
      </c>
      <c r="C35" s="4">
        <v>14.01</v>
      </c>
      <c r="D35">
        <f t="shared" si="0"/>
        <v>22.517308799999999</v>
      </c>
    </row>
    <row r="36" spans="1:5" ht="15" thickBot="1" x14ac:dyDescent="0.4">
      <c r="A36" s="3">
        <v>44699.318668981483</v>
      </c>
      <c r="B36" s="4">
        <v>143</v>
      </c>
      <c r="C36" s="4">
        <v>17.010000000000002</v>
      </c>
      <c r="D36">
        <f t="shared" si="0"/>
        <v>25.967541599999997</v>
      </c>
    </row>
    <row r="37" spans="1:5" ht="15" thickBot="1" x14ac:dyDescent="0.4">
      <c r="A37" s="3">
        <v>44699.322199074071</v>
      </c>
      <c r="B37" s="4">
        <v>158</v>
      </c>
      <c r="C37" s="4">
        <v>19.73</v>
      </c>
      <c r="D37">
        <f t="shared" si="0"/>
        <v>28.6914096</v>
      </c>
    </row>
    <row r="38" spans="1:5" ht="15" thickBot="1" x14ac:dyDescent="0.4">
      <c r="A38" s="3">
        <v>44699.325729166667</v>
      </c>
      <c r="B38" s="4">
        <v>181</v>
      </c>
      <c r="C38" s="4">
        <v>22.3</v>
      </c>
      <c r="D38">
        <f t="shared" si="0"/>
        <v>32.868007200000001</v>
      </c>
    </row>
    <row r="39" spans="1:5" ht="15" thickBot="1" x14ac:dyDescent="0.4">
      <c r="A39" s="3">
        <v>44699.329259259262</v>
      </c>
      <c r="B39" s="4">
        <v>203</v>
      </c>
      <c r="C39" s="4">
        <v>25.12</v>
      </c>
      <c r="D39">
        <f t="shared" si="0"/>
        <v>36.863013599999995</v>
      </c>
    </row>
    <row r="40" spans="1:5" ht="15" thickBot="1" x14ac:dyDescent="0.4">
      <c r="A40" s="3">
        <v>44699.332789351851</v>
      </c>
      <c r="B40" s="4">
        <v>219</v>
      </c>
      <c r="C40" s="4">
        <v>27.24</v>
      </c>
      <c r="D40">
        <f t="shared" si="0"/>
        <v>39.768472799999998</v>
      </c>
    </row>
    <row r="41" spans="1:5" ht="15" thickBot="1" x14ac:dyDescent="0.4">
      <c r="A41" s="3">
        <v>44699.336319444446</v>
      </c>
      <c r="B41" s="4">
        <v>227</v>
      </c>
      <c r="C41" s="4">
        <v>28.29</v>
      </c>
      <c r="D41">
        <f t="shared" si="0"/>
        <v>41.221202400000003</v>
      </c>
      <c r="E41">
        <f>AVERAGE(D41:D52)</f>
        <v>38.951312399999999</v>
      </c>
    </row>
    <row r="42" spans="1:5" ht="15" thickBot="1" x14ac:dyDescent="0.4">
      <c r="A42" s="3">
        <v>44699.339849537035</v>
      </c>
      <c r="B42" s="4">
        <v>248</v>
      </c>
      <c r="C42" s="4">
        <v>31.31</v>
      </c>
      <c r="D42">
        <f t="shared" si="0"/>
        <v>45.034617599999997</v>
      </c>
    </row>
    <row r="43" spans="1:5" ht="15" thickBot="1" x14ac:dyDescent="0.4">
      <c r="A43" s="3">
        <v>44699.34337962963</v>
      </c>
      <c r="B43" s="4">
        <v>252</v>
      </c>
      <c r="C43" s="4">
        <v>32.81</v>
      </c>
      <c r="D43">
        <f t="shared" si="0"/>
        <v>45.760982400000003</v>
      </c>
    </row>
    <row r="44" spans="1:5" ht="15" thickBot="1" x14ac:dyDescent="0.4">
      <c r="A44" s="3">
        <v>44699.346909722219</v>
      </c>
      <c r="B44" s="4">
        <v>165</v>
      </c>
      <c r="C44" s="4">
        <v>21.52</v>
      </c>
      <c r="D44">
        <f t="shared" si="0"/>
        <v>29.962547999999998</v>
      </c>
    </row>
    <row r="45" spans="1:5" ht="15" thickBot="1" x14ac:dyDescent="0.4">
      <c r="A45" s="3">
        <v>44699.350439814814</v>
      </c>
      <c r="B45" s="4">
        <v>151</v>
      </c>
      <c r="C45" s="4">
        <v>18.28</v>
      </c>
      <c r="D45">
        <f t="shared" si="0"/>
        <v>27.420271199999998</v>
      </c>
    </row>
    <row r="46" spans="1:5" ht="15" thickBot="1" x14ac:dyDescent="0.4">
      <c r="A46" s="3">
        <v>44699.35396990741</v>
      </c>
      <c r="B46" s="4">
        <v>381</v>
      </c>
      <c r="C46" s="4">
        <v>49.21</v>
      </c>
      <c r="D46">
        <f t="shared" si="0"/>
        <v>69.186247199999983</v>
      </c>
    </row>
    <row r="47" spans="1:5" ht="15" thickBot="1" x14ac:dyDescent="0.4">
      <c r="A47" s="3">
        <v>44699.357499999998</v>
      </c>
      <c r="B47" s="4">
        <v>169</v>
      </c>
      <c r="C47" s="4">
        <v>21.76</v>
      </c>
      <c r="D47">
        <f t="shared" si="0"/>
        <v>30.688912799999997</v>
      </c>
    </row>
    <row r="48" spans="1:5" ht="15" thickBot="1" x14ac:dyDescent="0.4">
      <c r="A48" s="3">
        <v>44699.361030092594</v>
      </c>
      <c r="B48" s="4">
        <v>143</v>
      </c>
      <c r="C48" s="4">
        <v>17.84</v>
      </c>
      <c r="D48">
        <f t="shared" si="0"/>
        <v>25.967541599999997</v>
      </c>
    </row>
    <row r="49" spans="1:5" ht="15" thickBot="1" x14ac:dyDescent="0.4">
      <c r="A49" s="3">
        <v>44699.364560185182</v>
      </c>
      <c r="B49" s="4">
        <v>167</v>
      </c>
      <c r="C49" s="4">
        <v>20.59</v>
      </c>
      <c r="D49">
        <f t="shared" si="0"/>
        <v>30.325730400000001</v>
      </c>
    </row>
    <row r="50" spans="1:5" ht="15" thickBot="1" x14ac:dyDescent="0.4">
      <c r="A50" s="3">
        <v>44699.368090277778</v>
      </c>
      <c r="B50" s="4">
        <v>313</v>
      </c>
      <c r="C50" s="4">
        <v>33.67</v>
      </c>
      <c r="D50">
        <f t="shared" si="0"/>
        <v>56.838045600000001</v>
      </c>
    </row>
    <row r="51" spans="1:5" ht="15" thickBot="1" x14ac:dyDescent="0.4">
      <c r="A51" s="3">
        <v>44699.371620370373</v>
      </c>
      <c r="B51" s="4">
        <v>188</v>
      </c>
      <c r="C51" s="4">
        <v>25.38</v>
      </c>
      <c r="D51">
        <f t="shared" si="0"/>
        <v>34.139145599999999</v>
      </c>
    </row>
    <row r="52" spans="1:5" ht="15" thickBot="1" x14ac:dyDescent="0.4">
      <c r="A52" s="3">
        <v>44699.375150462962</v>
      </c>
      <c r="B52" s="4">
        <v>170</v>
      </c>
      <c r="C52" s="4">
        <v>22.04</v>
      </c>
      <c r="D52">
        <f t="shared" si="0"/>
        <v>30.870504</v>
      </c>
    </row>
    <row r="53" spans="1:5" ht="15" thickBot="1" x14ac:dyDescent="0.4">
      <c r="A53" s="3">
        <v>44699.378680555557</v>
      </c>
      <c r="B53" s="4">
        <v>160</v>
      </c>
      <c r="C53" s="4">
        <v>19.68</v>
      </c>
      <c r="D53">
        <f t="shared" si="0"/>
        <v>29.054592</v>
      </c>
      <c r="E53">
        <f>AVERAGE(D53:D64)</f>
        <v>58.593427200000001</v>
      </c>
    </row>
    <row r="54" spans="1:5" ht="15" thickBot="1" x14ac:dyDescent="0.4">
      <c r="A54" s="3">
        <v>44699.382210648146</v>
      </c>
      <c r="B54" s="4">
        <v>546</v>
      </c>
      <c r="C54" s="4">
        <v>72.94</v>
      </c>
      <c r="D54">
        <f t="shared" si="0"/>
        <v>99.148795199999995</v>
      </c>
    </row>
    <row r="55" spans="1:5" ht="15" thickBot="1" x14ac:dyDescent="0.4">
      <c r="A55" s="3">
        <v>44699.385729166665</v>
      </c>
      <c r="B55" s="4">
        <v>227</v>
      </c>
      <c r="C55" s="4">
        <v>28.58</v>
      </c>
      <c r="D55">
        <f t="shared" si="0"/>
        <v>41.221202400000003</v>
      </c>
    </row>
    <row r="56" spans="1:5" ht="15" thickBot="1" x14ac:dyDescent="0.4">
      <c r="A56" s="3">
        <v>44699.389270833337</v>
      </c>
      <c r="B56" s="4">
        <v>259</v>
      </c>
      <c r="C56" s="4">
        <v>32.450000000000003</v>
      </c>
      <c r="D56">
        <f t="shared" si="0"/>
        <v>47.032120800000001</v>
      </c>
    </row>
    <row r="57" spans="1:5" ht="15" thickBot="1" x14ac:dyDescent="0.4">
      <c r="A57" s="3">
        <v>44699.392789351848</v>
      </c>
      <c r="B57" s="4">
        <v>172</v>
      </c>
      <c r="C57" s="4">
        <v>21.5</v>
      </c>
      <c r="D57">
        <f t="shared" si="0"/>
        <v>31.2336864</v>
      </c>
    </row>
    <row r="58" spans="1:5" ht="15" thickBot="1" x14ac:dyDescent="0.4">
      <c r="A58" s="3">
        <v>44699.396331018521</v>
      </c>
      <c r="B58" s="4">
        <v>213</v>
      </c>
      <c r="C58" s="4">
        <v>26.94</v>
      </c>
      <c r="D58">
        <f t="shared" si="0"/>
        <v>38.678925599999999</v>
      </c>
    </row>
    <row r="59" spans="1:5" ht="15" thickBot="1" x14ac:dyDescent="0.4">
      <c r="A59" s="3">
        <v>44699.39984953704</v>
      </c>
      <c r="B59" s="4">
        <v>227</v>
      </c>
      <c r="C59" s="4">
        <v>28.61</v>
      </c>
      <c r="D59">
        <f t="shared" si="0"/>
        <v>41.221202400000003</v>
      </c>
    </row>
    <row r="60" spans="1:5" ht="15" thickBot="1" x14ac:dyDescent="0.4">
      <c r="A60" s="3">
        <v>44699.403391203705</v>
      </c>
      <c r="B60" s="4">
        <v>539</v>
      </c>
      <c r="C60" s="4">
        <v>71.94</v>
      </c>
      <c r="D60">
        <f t="shared" si="0"/>
        <v>97.877656799999997</v>
      </c>
    </row>
    <row r="61" spans="1:5" ht="15" thickBot="1" x14ac:dyDescent="0.4">
      <c r="A61" s="3">
        <v>44699.406909722224</v>
      </c>
      <c r="B61" s="4">
        <v>603</v>
      </c>
      <c r="C61" s="4">
        <v>73.23</v>
      </c>
      <c r="D61">
        <f t="shared" si="0"/>
        <v>109.49949360000001</v>
      </c>
    </row>
    <row r="62" spans="1:5" ht="15" thickBot="1" x14ac:dyDescent="0.4">
      <c r="A62" s="3">
        <v>44699.410451388889</v>
      </c>
      <c r="B62" s="4">
        <v>456</v>
      </c>
      <c r="C62" s="4">
        <v>54.71</v>
      </c>
      <c r="D62">
        <f t="shared" si="0"/>
        <v>82.805587199999991</v>
      </c>
    </row>
    <row r="63" spans="1:5" ht="15" thickBot="1" x14ac:dyDescent="0.4">
      <c r="A63" s="3">
        <v>44699.413969907408</v>
      </c>
      <c r="B63" s="4">
        <v>215</v>
      </c>
      <c r="C63" s="4">
        <v>26.94</v>
      </c>
      <c r="D63">
        <f t="shared" si="0"/>
        <v>39.042107999999999</v>
      </c>
    </row>
    <row r="64" spans="1:5" ht="15" thickBot="1" x14ac:dyDescent="0.4">
      <c r="A64" s="3">
        <v>44699.417500000003</v>
      </c>
      <c r="B64" s="4">
        <v>255</v>
      </c>
      <c r="C64" s="4">
        <v>31.76</v>
      </c>
      <c r="D64">
        <f t="shared" si="0"/>
        <v>46.305755999999995</v>
      </c>
      <c r="E64">
        <f>AVERAGE(D64:D75)</f>
        <v>74.422126800000001</v>
      </c>
    </row>
    <row r="65" spans="1:5" ht="15" thickBot="1" x14ac:dyDescent="0.4">
      <c r="A65" s="3">
        <v>44699.421041666668</v>
      </c>
      <c r="B65" s="4">
        <v>297</v>
      </c>
      <c r="C65" s="4">
        <v>38.04</v>
      </c>
      <c r="D65">
        <f t="shared" si="0"/>
        <v>53.932586399999991</v>
      </c>
    </row>
    <row r="66" spans="1:5" ht="15" thickBot="1" x14ac:dyDescent="0.4">
      <c r="A66" s="3">
        <v>44699.424571759257</v>
      </c>
      <c r="B66" s="4">
        <v>293</v>
      </c>
      <c r="C66" s="4">
        <v>37.130000000000003</v>
      </c>
      <c r="D66">
        <f t="shared" si="0"/>
        <v>53.206221599999999</v>
      </c>
    </row>
    <row r="67" spans="1:5" ht="15" thickBot="1" x14ac:dyDescent="0.4">
      <c r="A67" s="3">
        <v>44699.428101851852</v>
      </c>
      <c r="B67" s="4">
        <v>408</v>
      </c>
      <c r="C67" s="4">
        <v>56.96</v>
      </c>
      <c r="D67">
        <f t="shared" si="0"/>
        <v>74.08920959999999</v>
      </c>
    </row>
    <row r="68" spans="1:5" ht="15" thickBot="1" x14ac:dyDescent="0.4">
      <c r="A68" s="3">
        <v>44699.431631944448</v>
      </c>
      <c r="B68" s="4">
        <v>436</v>
      </c>
      <c r="C68" s="4">
        <v>43.01</v>
      </c>
      <c r="D68">
        <f t="shared" si="0"/>
        <v>79.173763199999996</v>
      </c>
    </row>
    <row r="69" spans="1:5" ht="15" thickBot="1" x14ac:dyDescent="0.4">
      <c r="A69" s="3">
        <v>44699.435162037036</v>
      </c>
      <c r="B69" s="4">
        <v>734</v>
      </c>
      <c r="C69" s="4">
        <v>95.07</v>
      </c>
      <c r="D69">
        <f t="shared" si="0"/>
        <v>133.2879408</v>
      </c>
    </row>
    <row r="70" spans="1:5" ht="15" thickBot="1" x14ac:dyDescent="0.4">
      <c r="A70" s="3">
        <v>44699.438692129632</v>
      </c>
      <c r="B70" s="4">
        <v>731</v>
      </c>
      <c r="C70" s="4">
        <v>93.23</v>
      </c>
      <c r="D70">
        <f t="shared" ref="D70:D133" si="1">B70*1513.26*0.12/1000</f>
        <v>132.74316719999999</v>
      </c>
    </row>
    <row r="71" spans="1:5" ht="15" thickBot="1" x14ac:dyDescent="0.4">
      <c r="A71" s="3">
        <v>44699.442210648151</v>
      </c>
      <c r="B71" s="4">
        <v>658</v>
      </c>
      <c r="C71" s="4">
        <v>63.1</v>
      </c>
      <c r="D71">
        <f t="shared" si="1"/>
        <v>119.48700959999999</v>
      </c>
    </row>
    <row r="72" spans="1:5" ht="15" thickBot="1" x14ac:dyDescent="0.4">
      <c r="A72" s="3">
        <v>44699.445752314816</v>
      </c>
      <c r="B72" s="4">
        <v>391</v>
      </c>
      <c r="C72" s="4">
        <v>70.48</v>
      </c>
      <c r="D72">
        <f t="shared" si="1"/>
        <v>71.002159199999994</v>
      </c>
    </row>
    <row r="73" spans="1:5" ht="15" thickBot="1" x14ac:dyDescent="0.4">
      <c r="A73" s="3">
        <v>44699.449270833335</v>
      </c>
      <c r="B73" s="4">
        <v>261</v>
      </c>
      <c r="C73" s="4">
        <v>34.299999999999997</v>
      </c>
      <c r="D73">
        <f t="shared" si="1"/>
        <v>47.395303199999994</v>
      </c>
    </row>
    <row r="74" spans="1:5" ht="15" thickBot="1" x14ac:dyDescent="0.4">
      <c r="A74" s="3">
        <v>44699.452824074076</v>
      </c>
      <c r="B74" s="4">
        <v>164</v>
      </c>
      <c r="C74" s="4">
        <v>20.3</v>
      </c>
      <c r="D74">
        <f t="shared" si="1"/>
        <v>29.780956799999995</v>
      </c>
    </row>
    <row r="75" spans="1:5" ht="15" thickBot="1" x14ac:dyDescent="0.4">
      <c r="A75" s="3">
        <v>44699.456342592595</v>
      </c>
      <c r="B75" s="4">
        <v>290</v>
      </c>
      <c r="C75" s="4">
        <v>39.03</v>
      </c>
      <c r="D75">
        <f t="shared" si="1"/>
        <v>52.661448000000007</v>
      </c>
    </row>
    <row r="76" spans="1:5" ht="15" thickBot="1" x14ac:dyDescent="0.4">
      <c r="A76" s="3">
        <v>44699.45988425926</v>
      </c>
      <c r="B76" s="4">
        <v>373</v>
      </c>
      <c r="C76" s="4">
        <v>47.41</v>
      </c>
      <c r="D76">
        <f t="shared" si="1"/>
        <v>67.733517599999999</v>
      </c>
      <c r="E76">
        <f>AVERAGE(D76:D87)</f>
        <v>146.45330279999999</v>
      </c>
    </row>
    <row r="77" spans="1:5" ht="15" thickBot="1" x14ac:dyDescent="0.4">
      <c r="A77" s="3">
        <v>44699.463414351849</v>
      </c>
      <c r="B77" s="4">
        <v>1034</v>
      </c>
      <c r="C77" s="4">
        <v>95.75</v>
      </c>
      <c r="D77">
        <f t="shared" si="1"/>
        <v>187.76530080000001</v>
      </c>
    </row>
    <row r="78" spans="1:5" ht="15" thickBot="1" x14ac:dyDescent="0.4">
      <c r="A78" s="3">
        <v>44699.466944444444</v>
      </c>
      <c r="B78" s="4">
        <v>377</v>
      </c>
      <c r="C78" s="4">
        <v>79.91</v>
      </c>
      <c r="D78">
        <f t="shared" si="1"/>
        <v>68.459882399999998</v>
      </c>
    </row>
    <row r="79" spans="1:5" ht="15" thickBot="1" x14ac:dyDescent="0.4">
      <c r="A79" s="3">
        <v>44699.47047453704</v>
      </c>
      <c r="B79" s="4">
        <v>976</v>
      </c>
      <c r="C79" s="4">
        <v>121.51</v>
      </c>
      <c r="D79">
        <f t="shared" si="1"/>
        <v>177.23301120000002</v>
      </c>
    </row>
    <row r="80" spans="1:5" ht="15" thickBot="1" x14ac:dyDescent="0.4">
      <c r="A80" s="3">
        <v>44699.474004629628</v>
      </c>
      <c r="B80" s="4">
        <v>1004</v>
      </c>
      <c r="C80" s="4">
        <v>122.37</v>
      </c>
      <c r="D80">
        <f t="shared" si="1"/>
        <v>182.31756479999999</v>
      </c>
    </row>
    <row r="81" spans="1:5" ht="15" thickBot="1" x14ac:dyDescent="0.4">
      <c r="A81" s="3">
        <v>44699.477523148147</v>
      </c>
      <c r="B81" s="4">
        <v>875</v>
      </c>
      <c r="C81" s="4">
        <v>95.04</v>
      </c>
      <c r="D81">
        <f t="shared" si="1"/>
        <v>158.89229999999998</v>
      </c>
    </row>
    <row r="82" spans="1:5" ht="15" thickBot="1" x14ac:dyDescent="0.4">
      <c r="A82" s="3">
        <v>44699.481064814812</v>
      </c>
      <c r="B82" s="4">
        <v>1008</v>
      </c>
      <c r="C82" s="4">
        <v>92.11</v>
      </c>
      <c r="D82">
        <f t="shared" si="1"/>
        <v>183.04392960000001</v>
      </c>
    </row>
    <row r="83" spans="1:5" ht="15" thickBot="1" x14ac:dyDescent="0.4">
      <c r="A83" s="3">
        <v>44699.484583333331</v>
      </c>
      <c r="B83" s="4">
        <v>338</v>
      </c>
      <c r="C83" s="4">
        <v>42.39</v>
      </c>
      <c r="D83">
        <f t="shared" si="1"/>
        <v>61.377825599999994</v>
      </c>
    </row>
    <row r="84" spans="1:5" ht="15" thickBot="1" x14ac:dyDescent="0.4">
      <c r="A84" s="3">
        <v>44699.488113425927</v>
      </c>
      <c r="B84" s="4">
        <v>924</v>
      </c>
      <c r="C84" s="4">
        <v>111.98</v>
      </c>
      <c r="D84">
        <f t="shared" si="1"/>
        <v>167.79026879999998</v>
      </c>
    </row>
    <row r="85" spans="1:5" ht="15" thickBot="1" x14ac:dyDescent="0.4">
      <c r="A85" s="3">
        <v>44699.491643518515</v>
      </c>
      <c r="B85" s="4">
        <v>922</v>
      </c>
      <c r="C85" s="4">
        <v>114.34</v>
      </c>
      <c r="D85">
        <f t="shared" si="1"/>
        <v>167.42708640000001</v>
      </c>
    </row>
    <row r="86" spans="1:5" ht="15" thickBot="1" x14ac:dyDescent="0.4">
      <c r="A86" s="3">
        <v>44699.495185185187</v>
      </c>
      <c r="B86" s="4">
        <v>929</v>
      </c>
      <c r="C86" s="4">
        <v>113.79</v>
      </c>
      <c r="D86">
        <f t="shared" si="1"/>
        <v>168.69822479999999</v>
      </c>
    </row>
    <row r="87" spans="1:5" ht="15" thickBot="1" x14ac:dyDescent="0.4">
      <c r="A87" s="3">
        <v>44699.498703703706</v>
      </c>
      <c r="B87" s="4">
        <v>918</v>
      </c>
      <c r="C87" s="4">
        <v>110.65</v>
      </c>
      <c r="D87">
        <f t="shared" si="1"/>
        <v>166.70072159999998</v>
      </c>
    </row>
    <row r="88" spans="1:5" ht="15" thickBot="1" x14ac:dyDescent="0.4">
      <c r="A88" s="3">
        <v>44699.502245370371</v>
      </c>
      <c r="B88" s="4">
        <v>504</v>
      </c>
      <c r="C88" s="4">
        <v>54.43</v>
      </c>
      <c r="D88">
        <f t="shared" si="1"/>
        <v>91.521964800000006</v>
      </c>
      <c r="E88">
        <f>AVERAGE(D88:D99)</f>
        <v>141.8227272</v>
      </c>
    </row>
    <row r="89" spans="1:5" ht="15" thickBot="1" x14ac:dyDescent="0.4">
      <c r="A89" s="3">
        <v>44699.50576388889</v>
      </c>
      <c r="B89" s="4">
        <v>374</v>
      </c>
      <c r="C89" s="4">
        <v>47.1</v>
      </c>
      <c r="D89">
        <f t="shared" si="1"/>
        <v>67.915108799999999</v>
      </c>
    </row>
    <row r="90" spans="1:5" ht="15" thickBot="1" x14ac:dyDescent="0.4">
      <c r="A90" s="3">
        <v>44699.509305555555</v>
      </c>
      <c r="B90" s="4">
        <v>955</v>
      </c>
      <c r="C90" s="4">
        <v>113.17</v>
      </c>
      <c r="D90">
        <f t="shared" si="1"/>
        <v>173.41959599999998</v>
      </c>
    </row>
    <row r="91" spans="1:5" ht="15" thickBot="1" x14ac:dyDescent="0.4">
      <c r="A91" s="3">
        <v>44699.512824074074</v>
      </c>
      <c r="B91" s="4">
        <v>917</v>
      </c>
      <c r="C91" s="4">
        <v>109.75</v>
      </c>
      <c r="D91">
        <f t="shared" si="1"/>
        <v>166.51913039999999</v>
      </c>
    </row>
    <row r="92" spans="1:5" ht="15" thickBot="1" x14ac:dyDescent="0.4">
      <c r="A92" s="3">
        <v>44699.51635416667</v>
      </c>
      <c r="B92" s="4">
        <v>979</v>
      </c>
      <c r="C92" s="4">
        <v>108.24</v>
      </c>
      <c r="D92">
        <f t="shared" si="1"/>
        <v>177.77778480000001</v>
      </c>
    </row>
    <row r="93" spans="1:5" ht="15" thickBot="1" x14ac:dyDescent="0.4">
      <c r="A93" s="3">
        <v>44699.519884259258</v>
      </c>
      <c r="B93" s="4">
        <v>951</v>
      </c>
      <c r="C93" s="4">
        <v>110.94</v>
      </c>
      <c r="D93">
        <f t="shared" si="1"/>
        <v>172.69323120000001</v>
      </c>
    </row>
    <row r="94" spans="1:5" ht="15" thickBot="1" x14ac:dyDescent="0.4">
      <c r="A94" s="3">
        <v>44699.523414351854</v>
      </c>
      <c r="B94" s="4">
        <v>362</v>
      </c>
      <c r="C94" s="4">
        <v>42.33</v>
      </c>
      <c r="D94">
        <f t="shared" si="1"/>
        <v>65.736014400000002</v>
      </c>
    </row>
    <row r="95" spans="1:5" ht="15" thickBot="1" x14ac:dyDescent="0.4">
      <c r="A95" s="3">
        <v>44699.526944444442</v>
      </c>
      <c r="B95" s="4">
        <v>977</v>
      </c>
      <c r="C95" s="4">
        <v>116.46</v>
      </c>
      <c r="D95">
        <f t="shared" si="1"/>
        <v>177.41460240000001</v>
      </c>
    </row>
    <row r="96" spans="1:5" ht="15" thickBot="1" x14ac:dyDescent="0.4">
      <c r="A96" s="3">
        <v>44699.530474537038</v>
      </c>
      <c r="B96" s="4">
        <v>564</v>
      </c>
      <c r="C96" s="4">
        <v>51.09</v>
      </c>
      <c r="D96">
        <f t="shared" si="1"/>
        <v>102.41743679999999</v>
      </c>
    </row>
    <row r="97" spans="1:5" ht="15" thickBot="1" x14ac:dyDescent="0.4">
      <c r="A97" s="3">
        <v>44699.534004629626</v>
      </c>
      <c r="B97" s="4">
        <v>796</v>
      </c>
      <c r="C97" s="4">
        <v>111.31</v>
      </c>
      <c r="D97">
        <f t="shared" si="1"/>
        <v>144.54659519999998</v>
      </c>
    </row>
    <row r="98" spans="1:5" ht="15" thickBot="1" x14ac:dyDescent="0.4">
      <c r="A98" s="3">
        <v>44699.537546296298</v>
      </c>
      <c r="B98" s="4">
        <v>951</v>
      </c>
      <c r="C98" s="4">
        <v>111.98</v>
      </c>
      <c r="D98">
        <f t="shared" si="1"/>
        <v>172.69323120000001</v>
      </c>
    </row>
    <row r="99" spans="1:5" ht="15" thickBot="1" x14ac:dyDescent="0.4">
      <c r="A99" s="3">
        <v>44699.541064814817</v>
      </c>
      <c r="B99" s="4">
        <v>1042</v>
      </c>
      <c r="C99" s="4">
        <v>114.88</v>
      </c>
      <c r="D99">
        <f t="shared" si="1"/>
        <v>189.21803039999998</v>
      </c>
    </row>
    <row r="100" spans="1:5" ht="15" thickBot="1" x14ac:dyDescent="0.4">
      <c r="A100" s="3">
        <v>44699.544606481482</v>
      </c>
      <c r="B100" s="4">
        <v>943</v>
      </c>
      <c r="C100" s="4">
        <v>107.26</v>
      </c>
      <c r="D100">
        <f t="shared" si="1"/>
        <v>171.24050159999999</v>
      </c>
      <c r="E100">
        <f>AVERAGE(D100:D111)</f>
        <v>165.38418540000001</v>
      </c>
    </row>
    <row r="101" spans="1:5" ht="15" thickBot="1" x14ac:dyDescent="0.4">
      <c r="A101" s="3">
        <v>44699.548125000001</v>
      </c>
      <c r="B101" s="4">
        <v>868</v>
      </c>
      <c r="C101" s="4">
        <v>102.04</v>
      </c>
      <c r="D101">
        <f t="shared" si="1"/>
        <v>157.62116159999999</v>
      </c>
    </row>
    <row r="102" spans="1:5" ht="15" thickBot="1" x14ac:dyDescent="0.4">
      <c r="A102" s="3">
        <v>44699.551655092589</v>
      </c>
      <c r="B102" s="4">
        <v>905</v>
      </c>
      <c r="C102" s="4">
        <v>107.63</v>
      </c>
      <c r="D102">
        <f t="shared" si="1"/>
        <v>164.340036</v>
      </c>
    </row>
    <row r="103" spans="1:5" ht="15" thickBot="1" x14ac:dyDescent="0.4">
      <c r="A103" s="3">
        <v>44699.555185185185</v>
      </c>
      <c r="B103" s="4">
        <v>1002</v>
      </c>
      <c r="C103" s="4">
        <v>118.01</v>
      </c>
      <c r="D103">
        <f t="shared" si="1"/>
        <v>181.95438240000001</v>
      </c>
    </row>
    <row r="104" spans="1:5" ht="15" thickBot="1" x14ac:dyDescent="0.4">
      <c r="A104" s="3">
        <v>44699.558715277781</v>
      </c>
      <c r="B104" s="4">
        <v>1018</v>
      </c>
      <c r="C104" s="4">
        <v>118.85</v>
      </c>
      <c r="D104">
        <f t="shared" si="1"/>
        <v>184.85984159999998</v>
      </c>
    </row>
    <row r="105" spans="1:5" ht="15" thickBot="1" x14ac:dyDescent="0.4">
      <c r="A105" s="3">
        <v>44699.562245370369</v>
      </c>
      <c r="B105" s="4">
        <v>1074</v>
      </c>
      <c r="C105" s="4">
        <v>121.36</v>
      </c>
      <c r="D105">
        <f t="shared" si="1"/>
        <v>195.02894879999999</v>
      </c>
    </row>
    <row r="106" spans="1:5" ht="15" thickBot="1" x14ac:dyDescent="0.4">
      <c r="A106" s="3">
        <v>44699.565775462965</v>
      </c>
      <c r="B106" s="4">
        <v>867</v>
      </c>
      <c r="C106" s="4">
        <v>103.4</v>
      </c>
      <c r="D106">
        <f t="shared" si="1"/>
        <v>157.43957040000001</v>
      </c>
    </row>
    <row r="107" spans="1:5" ht="15" thickBot="1" x14ac:dyDescent="0.4">
      <c r="A107" s="3">
        <v>44699.569305555553</v>
      </c>
      <c r="B107" s="4">
        <v>436</v>
      </c>
      <c r="C107" s="4">
        <v>54.06</v>
      </c>
      <c r="D107">
        <f t="shared" si="1"/>
        <v>79.173763199999996</v>
      </c>
    </row>
    <row r="108" spans="1:5" ht="15" thickBot="1" x14ac:dyDescent="0.4">
      <c r="A108" s="3">
        <v>44699.572835648149</v>
      </c>
      <c r="B108" s="4">
        <v>1095</v>
      </c>
      <c r="C108" s="4">
        <v>111.29</v>
      </c>
      <c r="D108">
        <f t="shared" si="1"/>
        <v>198.842364</v>
      </c>
    </row>
    <row r="109" spans="1:5" ht="15" thickBot="1" x14ac:dyDescent="0.4">
      <c r="A109" s="3">
        <v>44699.576365740744</v>
      </c>
      <c r="B109" s="4">
        <v>1081</v>
      </c>
      <c r="C109" s="4">
        <v>123.58</v>
      </c>
      <c r="D109">
        <f t="shared" si="1"/>
        <v>196.30008720000001</v>
      </c>
    </row>
    <row r="110" spans="1:5" ht="15" thickBot="1" x14ac:dyDescent="0.4">
      <c r="A110" s="3">
        <v>44699.579895833333</v>
      </c>
      <c r="B110" s="4">
        <v>1026</v>
      </c>
      <c r="C110" s="4">
        <v>116.92</v>
      </c>
      <c r="D110">
        <f t="shared" si="1"/>
        <v>186.31257120000001</v>
      </c>
    </row>
    <row r="111" spans="1:5" ht="15" thickBot="1" x14ac:dyDescent="0.4">
      <c r="A111" s="3">
        <v>44699.583425925928</v>
      </c>
      <c r="B111" s="4">
        <v>614</v>
      </c>
      <c r="C111" s="4">
        <v>99.01</v>
      </c>
      <c r="D111">
        <f t="shared" si="1"/>
        <v>111.49699679999999</v>
      </c>
    </row>
    <row r="112" spans="1:5" ht="15" thickBot="1" x14ac:dyDescent="0.4">
      <c r="A112" s="3">
        <v>44699.586956018517</v>
      </c>
      <c r="B112" s="4">
        <v>907</v>
      </c>
      <c r="C112" s="4">
        <v>106.82</v>
      </c>
      <c r="D112">
        <f t="shared" si="1"/>
        <v>164.70321840000003</v>
      </c>
      <c r="E112">
        <f>AVERAGE(D112:D123)</f>
        <v>99.996220800000017</v>
      </c>
    </row>
    <row r="113" spans="1:5" ht="15" thickBot="1" x14ac:dyDescent="0.4">
      <c r="A113" s="3">
        <v>44699.590486111112</v>
      </c>
      <c r="B113" s="4">
        <v>989</v>
      </c>
      <c r="C113" s="4">
        <v>116.33</v>
      </c>
      <c r="D113">
        <f t="shared" si="1"/>
        <v>179.59369679999998</v>
      </c>
    </row>
    <row r="114" spans="1:5" ht="15" thickBot="1" x14ac:dyDescent="0.4">
      <c r="A114" s="3">
        <v>44699.5940162037</v>
      </c>
      <c r="B114" s="4">
        <v>397</v>
      </c>
      <c r="C114" s="4">
        <v>47.87</v>
      </c>
      <c r="D114">
        <f t="shared" si="1"/>
        <v>72.091706399999993</v>
      </c>
    </row>
    <row r="115" spans="1:5" ht="15" thickBot="1" x14ac:dyDescent="0.4">
      <c r="A115" s="3">
        <v>44699.597546296296</v>
      </c>
      <c r="B115" s="4">
        <v>860</v>
      </c>
      <c r="C115" s="4">
        <v>102.22</v>
      </c>
      <c r="D115">
        <f t="shared" si="1"/>
        <v>156.168432</v>
      </c>
    </row>
    <row r="116" spans="1:5" ht="15" thickBot="1" x14ac:dyDescent="0.4">
      <c r="A116" s="3">
        <v>44699.601076388892</v>
      </c>
      <c r="B116" s="4">
        <v>803</v>
      </c>
      <c r="C116" s="4">
        <v>95.02</v>
      </c>
      <c r="D116">
        <f t="shared" si="1"/>
        <v>145.8177336</v>
      </c>
    </row>
    <row r="117" spans="1:5" ht="15" thickBot="1" x14ac:dyDescent="0.4">
      <c r="A117" s="3">
        <v>44699.60460648148</v>
      </c>
      <c r="B117" s="4">
        <v>378</v>
      </c>
      <c r="C117" s="4">
        <v>45.26</v>
      </c>
      <c r="D117">
        <f t="shared" si="1"/>
        <v>68.641473599999998</v>
      </c>
    </row>
    <row r="118" spans="1:5" ht="15" thickBot="1" x14ac:dyDescent="0.4">
      <c r="A118" s="3">
        <v>44699.608148148145</v>
      </c>
      <c r="B118" s="4">
        <v>354</v>
      </c>
      <c r="C118" s="4">
        <v>43</v>
      </c>
      <c r="D118">
        <f t="shared" si="1"/>
        <v>64.283284800000004</v>
      </c>
    </row>
    <row r="119" spans="1:5" ht="15" thickBot="1" x14ac:dyDescent="0.4">
      <c r="A119" s="3">
        <v>44699.611678240741</v>
      </c>
      <c r="B119" s="4">
        <v>371</v>
      </c>
      <c r="C119" s="4">
        <v>45.58</v>
      </c>
      <c r="D119">
        <f t="shared" si="1"/>
        <v>67.370335199999985</v>
      </c>
    </row>
    <row r="120" spans="1:5" ht="15" thickBot="1" x14ac:dyDescent="0.4">
      <c r="A120" s="3">
        <v>44699.615208333336</v>
      </c>
      <c r="B120" s="4">
        <v>392</v>
      </c>
      <c r="C120" s="4">
        <v>48.05</v>
      </c>
      <c r="D120">
        <f t="shared" si="1"/>
        <v>71.183750400000008</v>
      </c>
    </row>
    <row r="121" spans="1:5" ht="15" thickBot="1" x14ac:dyDescent="0.4">
      <c r="A121" s="3">
        <v>44699.618738425925</v>
      </c>
      <c r="B121" s="4">
        <v>393</v>
      </c>
      <c r="C121" s="4">
        <v>47.82</v>
      </c>
      <c r="D121">
        <f t="shared" si="1"/>
        <v>71.365341599999994</v>
      </c>
    </row>
    <row r="122" spans="1:5" ht="15" thickBot="1" x14ac:dyDescent="0.4">
      <c r="A122" s="3">
        <v>44699.62226851852</v>
      </c>
      <c r="B122" s="4">
        <v>385</v>
      </c>
      <c r="C122" s="4">
        <v>46.74</v>
      </c>
      <c r="D122">
        <f t="shared" si="1"/>
        <v>69.912611999999996</v>
      </c>
    </row>
    <row r="123" spans="1:5" ht="15" thickBot="1" x14ac:dyDescent="0.4">
      <c r="A123" s="3">
        <v>44699.625798611109</v>
      </c>
      <c r="B123" s="4">
        <v>379</v>
      </c>
      <c r="C123" s="4">
        <v>46.04</v>
      </c>
      <c r="D123">
        <f t="shared" si="1"/>
        <v>68.823064800000012</v>
      </c>
      <c r="E123">
        <f>AVERAGE(D123:D134)</f>
        <v>98.815877999999998</v>
      </c>
    </row>
    <row r="124" spans="1:5" ht="15" thickBot="1" x14ac:dyDescent="0.4">
      <c r="A124" s="3">
        <v>44699.629328703704</v>
      </c>
      <c r="B124" s="4">
        <v>480</v>
      </c>
      <c r="C124" s="4">
        <v>58.22</v>
      </c>
      <c r="D124">
        <f t="shared" si="1"/>
        <v>87.163775999999999</v>
      </c>
    </row>
    <row r="125" spans="1:5" ht="15" thickBot="1" x14ac:dyDescent="0.4">
      <c r="A125" s="3">
        <v>44699.6328587963</v>
      </c>
      <c r="B125" s="4">
        <v>518</v>
      </c>
      <c r="C125" s="4">
        <v>62.29</v>
      </c>
      <c r="D125">
        <f t="shared" si="1"/>
        <v>94.064241600000003</v>
      </c>
    </row>
    <row r="126" spans="1:5" ht="15" thickBot="1" x14ac:dyDescent="0.4">
      <c r="A126" s="3">
        <v>44699.636388888888</v>
      </c>
      <c r="B126" s="4">
        <v>522</v>
      </c>
      <c r="C126" s="4">
        <v>62.73</v>
      </c>
      <c r="D126">
        <f t="shared" si="1"/>
        <v>94.790606399999987</v>
      </c>
    </row>
    <row r="127" spans="1:5" ht="15" thickBot="1" x14ac:dyDescent="0.4">
      <c r="A127" s="3">
        <v>44699.639918981484</v>
      </c>
      <c r="B127" s="4">
        <v>483</v>
      </c>
      <c r="C127" s="4">
        <v>57.13</v>
      </c>
      <c r="D127">
        <f t="shared" si="1"/>
        <v>87.708549599999998</v>
      </c>
    </row>
    <row r="128" spans="1:5" ht="15" thickBot="1" x14ac:dyDescent="0.4">
      <c r="A128" s="3">
        <v>44699.643449074072</v>
      </c>
      <c r="B128" s="4">
        <v>535</v>
      </c>
      <c r="C128" s="4">
        <v>64.709999999999994</v>
      </c>
      <c r="D128">
        <f t="shared" si="1"/>
        <v>97.151291999999984</v>
      </c>
    </row>
    <row r="129" spans="1:5" ht="15" thickBot="1" x14ac:dyDescent="0.4">
      <c r="A129" s="3">
        <v>44699.646979166668</v>
      </c>
      <c r="B129" s="4">
        <v>705</v>
      </c>
      <c r="C129" s="4">
        <v>61.62</v>
      </c>
      <c r="D129">
        <f t="shared" si="1"/>
        <v>128.02179599999999</v>
      </c>
    </row>
    <row r="130" spans="1:5" ht="15" thickBot="1" x14ac:dyDescent="0.4">
      <c r="A130" s="3">
        <v>44699.650509259256</v>
      </c>
      <c r="B130" s="4">
        <v>701</v>
      </c>
      <c r="C130" s="4">
        <v>81.650000000000006</v>
      </c>
      <c r="D130">
        <f t="shared" si="1"/>
        <v>127.2954312</v>
      </c>
    </row>
    <row r="131" spans="1:5" ht="15" thickBot="1" x14ac:dyDescent="0.4">
      <c r="A131" s="3">
        <v>44699.654039351852</v>
      </c>
      <c r="B131" s="4">
        <v>241</v>
      </c>
      <c r="C131" s="4">
        <v>30.45</v>
      </c>
      <c r="D131">
        <f t="shared" si="1"/>
        <v>43.763479199999992</v>
      </c>
    </row>
    <row r="132" spans="1:5" ht="15" thickBot="1" x14ac:dyDescent="0.4">
      <c r="A132" s="3">
        <v>44699.657569444447</v>
      </c>
      <c r="B132" s="4">
        <v>632</v>
      </c>
      <c r="C132" s="4">
        <v>73.819999999999993</v>
      </c>
      <c r="D132">
        <f t="shared" si="1"/>
        <v>114.7656384</v>
      </c>
    </row>
    <row r="133" spans="1:5" ht="15" thickBot="1" x14ac:dyDescent="0.4">
      <c r="A133" s="3">
        <v>44699.661099537036</v>
      </c>
      <c r="B133" s="4">
        <v>691</v>
      </c>
      <c r="C133" s="4">
        <v>79.930000000000007</v>
      </c>
      <c r="D133">
        <f t="shared" si="1"/>
        <v>125.4795192</v>
      </c>
    </row>
    <row r="134" spans="1:5" ht="15" thickBot="1" x14ac:dyDescent="0.4">
      <c r="A134" s="3">
        <v>44699.664629629631</v>
      </c>
      <c r="B134" s="4">
        <v>643</v>
      </c>
      <c r="C134" s="4">
        <v>74.59</v>
      </c>
      <c r="D134">
        <f t="shared" ref="D134:D169" si="2">B134*1513.26*0.12/1000</f>
        <v>116.7631416</v>
      </c>
    </row>
    <row r="135" spans="1:5" ht="15" thickBot="1" x14ac:dyDescent="0.4">
      <c r="A135" s="3">
        <v>44699.66815972222</v>
      </c>
      <c r="B135" s="4">
        <v>621</v>
      </c>
      <c r="C135" s="4">
        <v>72.209999999999994</v>
      </c>
      <c r="D135">
        <f t="shared" si="2"/>
        <v>112.76813519999999</v>
      </c>
      <c r="E135">
        <f>AVERAGE(D135:D146)</f>
        <v>83.849736599999986</v>
      </c>
    </row>
    <row r="136" spans="1:5" ht="15" thickBot="1" x14ac:dyDescent="0.4">
      <c r="A136" s="3">
        <v>44699.671689814815</v>
      </c>
      <c r="B136" s="4">
        <v>588</v>
      </c>
      <c r="C136" s="4">
        <v>67.34</v>
      </c>
      <c r="D136">
        <f t="shared" si="2"/>
        <v>106.7756256</v>
      </c>
    </row>
    <row r="137" spans="1:5" ht="15" thickBot="1" x14ac:dyDescent="0.4">
      <c r="A137" s="3">
        <v>44699.675219907411</v>
      </c>
      <c r="B137" s="4">
        <v>575</v>
      </c>
      <c r="C137" s="4">
        <v>65.17</v>
      </c>
      <c r="D137">
        <f t="shared" si="2"/>
        <v>104.41494</v>
      </c>
    </row>
    <row r="138" spans="1:5" ht="15" thickBot="1" x14ac:dyDescent="0.4">
      <c r="A138" s="3">
        <v>44699.678749999999</v>
      </c>
      <c r="B138" s="4">
        <v>561</v>
      </c>
      <c r="C138" s="4">
        <v>62.97</v>
      </c>
      <c r="D138">
        <f t="shared" si="2"/>
        <v>101.87266319999999</v>
      </c>
    </row>
    <row r="139" spans="1:5" ht="15" thickBot="1" x14ac:dyDescent="0.4">
      <c r="A139" s="3">
        <v>44699.682280092595</v>
      </c>
      <c r="B139" s="4">
        <v>544</v>
      </c>
      <c r="C139" s="4">
        <v>61.43</v>
      </c>
      <c r="D139">
        <f t="shared" si="2"/>
        <v>98.785612799999981</v>
      </c>
    </row>
    <row r="140" spans="1:5" ht="15" thickBot="1" x14ac:dyDescent="0.4">
      <c r="A140" s="3">
        <v>44699.685810185183</v>
      </c>
      <c r="B140" s="4">
        <v>521</v>
      </c>
      <c r="C140" s="4">
        <v>58.85</v>
      </c>
      <c r="D140">
        <f t="shared" si="2"/>
        <v>94.609015199999988</v>
      </c>
    </row>
    <row r="141" spans="1:5" ht="15" thickBot="1" x14ac:dyDescent="0.4">
      <c r="A141" s="3">
        <v>44699.689340277779</v>
      </c>
      <c r="B141" s="4">
        <v>502</v>
      </c>
      <c r="C141" s="4">
        <v>56.31</v>
      </c>
      <c r="D141">
        <f t="shared" si="2"/>
        <v>91.158782399999993</v>
      </c>
    </row>
    <row r="142" spans="1:5" ht="15" thickBot="1" x14ac:dyDescent="0.4">
      <c r="A142" s="3">
        <v>44699.692870370367</v>
      </c>
      <c r="B142" s="4">
        <v>479</v>
      </c>
      <c r="C142" s="4">
        <v>51.84</v>
      </c>
      <c r="D142">
        <f t="shared" si="2"/>
        <v>86.982184799999999</v>
      </c>
    </row>
    <row r="143" spans="1:5" ht="15" thickBot="1" x14ac:dyDescent="0.4">
      <c r="A143" s="3">
        <v>44699.696388888886</v>
      </c>
      <c r="B143" s="4">
        <v>479</v>
      </c>
      <c r="C143" s="4">
        <v>52.45</v>
      </c>
      <c r="D143">
        <f t="shared" si="2"/>
        <v>86.982184799999999</v>
      </c>
    </row>
    <row r="144" spans="1:5" ht="15" thickBot="1" x14ac:dyDescent="0.4">
      <c r="A144" s="3">
        <v>44699.699930555558</v>
      </c>
      <c r="B144" s="4">
        <v>194</v>
      </c>
      <c r="C144" s="4">
        <v>20.67</v>
      </c>
      <c r="D144">
        <f t="shared" si="2"/>
        <v>35.228692799999997</v>
      </c>
    </row>
    <row r="145" spans="1:5" ht="15" thickBot="1" x14ac:dyDescent="0.4">
      <c r="A145" s="3">
        <v>44699.703449074077</v>
      </c>
      <c r="B145" s="4">
        <v>237</v>
      </c>
      <c r="C145" s="4">
        <v>29.36</v>
      </c>
      <c r="D145">
        <f t="shared" si="2"/>
        <v>43.0371144</v>
      </c>
    </row>
    <row r="146" spans="1:5" ht="15" thickBot="1" x14ac:dyDescent="0.4">
      <c r="A146" s="3">
        <v>44699.706990740742</v>
      </c>
      <c r="B146" s="4">
        <v>240</v>
      </c>
      <c r="C146" s="4">
        <v>22.99</v>
      </c>
      <c r="D146">
        <f t="shared" si="2"/>
        <v>43.581887999999999</v>
      </c>
    </row>
    <row r="147" spans="1:5" ht="15" thickBot="1" x14ac:dyDescent="0.4">
      <c r="A147" s="3">
        <v>44699.710509259261</v>
      </c>
      <c r="B147" s="4">
        <v>292</v>
      </c>
      <c r="C147" s="4">
        <v>40.14</v>
      </c>
      <c r="D147">
        <f t="shared" si="2"/>
        <v>53.024630399999992</v>
      </c>
      <c r="E147">
        <f>AVERAGE(D147:D158)</f>
        <v>38.497334399999993</v>
      </c>
    </row>
    <row r="148" spans="1:5" ht="15" thickBot="1" x14ac:dyDescent="0.4">
      <c r="A148" s="3">
        <v>44699.714039351849</v>
      </c>
      <c r="B148" s="4">
        <v>139</v>
      </c>
      <c r="C148" s="4">
        <v>14.49</v>
      </c>
      <c r="D148">
        <f t="shared" si="2"/>
        <v>25.241176799999998</v>
      </c>
    </row>
    <row r="149" spans="1:5" ht="15" thickBot="1" x14ac:dyDescent="0.4">
      <c r="A149" s="3">
        <v>44699.717569444445</v>
      </c>
      <c r="B149" s="4">
        <v>329</v>
      </c>
      <c r="C149" s="4">
        <v>35.799999999999997</v>
      </c>
      <c r="D149">
        <f t="shared" si="2"/>
        <v>59.743504799999997</v>
      </c>
    </row>
    <row r="150" spans="1:5" ht="15" thickBot="1" x14ac:dyDescent="0.4">
      <c r="A150" s="3">
        <v>44699.721099537041</v>
      </c>
      <c r="B150" s="4">
        <v>152</v>
      </c>
      <c r="C150" s="4">
        <v>18.25</v>
      </c>
      <c r="D150">
        <f t="shared" si="2"/>
        <v>27.601862399999998</v>
      </c>
    </row>
    <row r="151" spans="1:5" ht="15" thickBot="1" x14ac:dyDescent="0.4">
      <c r="A151" s="3">
        <v>44699.724629629629</v>
      </c>
      <c r="B151" s="4">
        <v>295</v>
      </c>
      <c r="C151" s="4">
        <v>31.4</v>
      </c>
      <c r="D151">
        <f t="shared" si="2"/>
        <v>53.569404000000006</v>
      </c>
    </row>
    <row r="152" spans="1:5" ht="15" thickBot="1" x14ac:dyDescent="0.4">
      <c r="A152" s="3">
        <v>44699.728159722225</v>
      </c>
      <c r="B152" s="4">
        <v>289</v>
      </c>
      <c r="C152" s="4">
        <v>29.65</v>
      </c>
      <c r="D152">
        <f t="shared" si="2"/>
        <v>52.4798568</v>
      </c>
    </row>
    <row r="153" spans="1:5" ht="15" thickBot="1" x14ac:dyDescent="0.4">
      <c r="A153" s="3">
        <v>44699.731689814813</v>
      </c>
      <c r="B153" s="4">
        <v>265</v>
      </c>
      <c r="C153" s="4">
        <v>26.85</v>
      </c>
      <c r="D153">
        <f t="shared" si="2"/>
        <v>48.121668</v>
      </c>
    </row>
    <row r="154" spans="1:5" ht="15" thickBot="1" x14ac:dyDescent="0.4">
      <c r="A154" s="3">
        <v>44699.735219907408</v>
      </c>
      <c r="B154" s="4">
        <v>207</v>
      </c>
      <c r="C154" s="4">
        <v>20.61</v>
      </c>
      <c r="D154">
        <f t="shared" si="2"/>
        <v>37.589378400000001</v>
      </c>
    </row>
    <row r="155" spans="1:5" ht="15" thickBot="1" x14ac:dyDescent="0.4">
      <c r="A155" s="3">
        <v>44699.738749999997</v>
      </c>
      <c r="B155" s="4">
        <v>114</v>
      </c>
      <c r="C155" s="4">
        <v>14.13</v>
      </c>
      <c r="D155">
        <f t="shared" si="2"/>
        <v>20.701396799999998</v>
      </c>
    </row>
    <row r="156" spans="1:5" ht="15" thickBot="1" x14ac:dyDescent="0.4">
      <c r="A156" s="3">
        <v>44699.742280092592</v>
      </c>
      <c r="B156" s="4">
        <v>151</v>
      </c>
      <c r="C156" s="4">
        <v>14.39</v>
      </c>
      <c r="D156">
        <f t="shared" si="2"/>
        <v>27.420271199999998</v>
      </c>
    </row>
    <row r="157" spans="1:5" ht="15" thickBot="1" x14ac:dyDescent="0.4">
      <c r="A157" s="3">
        <v>44699.745810185188</v>
      </c>
      <c r="B157" s="4">
        <v>105</v>
      </c>
      <c r="C157" s="4">
        <v>12.34</v>
      </c>
      <c r="D157">
        <f t="shared" si="2"/>
        <v>19.067075999999997</v>
      </c>
    </row>
    <row r="158" spans="1:5" ht="15" thickBot="1" x14ac:dyDescent="0.4">
      <c r="A158" s="3">
        <v>44699.749340277776</v>
      </c>
      <c r="B158" s="4">
        <v>206</v>
      </c>
      <c r="C158" s="4">
        <v>21.15</v>
      </c>
      <c r="D158">
        <f t="shared" si="2"/>
        <v>37.407787200000001</v>
      </c>
    </row>
    <row r="159" spans="1:5" ht="15" thickBot="1" x14ac:dyDescent="0.4">
      <c r="A159" s="3">
        <v>44699.752870370372</v>
      </c>
      <c r="B159" s="4">
        <v>188</v>
      </c>
      <c r="C159" s="4">
        <v>18.989999999999998</v>
      </c>
      <c r="D159">
        <f t="shared" si="2"/>
        <v>34.139145599999999</v>
      </c>
      <c r="E159">
        <f>AVERAGE(D159:D170)</f>
        <v>13.635848290909088</v>
      </c>
    </row>
    <row r="160" spans="1:5" ht="15" thickBot="1" x14ac:dyDescent="0.4">
      <c r="A160" s="3">
        <v>44699.75640046296</v>
      </c>
      <c r="B160" s="4">
        <v>161</v>
      </c>
      <c r="C160" s="4">
        <v>15.52</v>
      </c>
      <c r="D160">
        <f t="shared" si="2"/>
        <v>29.236183199999996</v>
      </c>
    </row>
    <row r="161" spans="1:4" ht="15" thickBot="1" x14ac:dyDescent="0.4">
      <c r="A161" s="3">
        <v>44699.759942129633</v>
      </c>
      <c r="B161" s="4">
        <v>133</v>
      </c>
      <c r="C161" s="4">
        <v>12.33</v>
      </c>
      <c r="D161">
        <f t="shared" si="2"/>
        <v>24.151629599999996</v>
      </c>
    </row>
    <row r="162" spans="1:4" ht="15" thickBot="1" x14ac:dyDescent="0.4">
      <c r="A162" s="3">
        <v>44699.763472222221</v>
      </c>
      <c r="B162" s="4">
        <v>73</v>
      </c>
      <c r="C162" s="4">
        <v>7.48</v>
      </c>
      <c r="D162">
        <f t="shared" si="2"/>
        <v>13.256157599999998</v>
      </c>
    </row>
    <row r="163" spans="1:4" ht="15" thickBot="1" x14ac:dyDescent="0.4">
      <c r="A163" s="3">
        <v>44699.767002314817</v>
      </c>
      <c r="B163" s="4">
        <v>83</v>
      </c>
      <c r="C163" s="4">
        <v>7.21</v>
      </c>
      <c r="D163">
        <f t="shared" si="2"/>
        <v>15.072069599999999</v>
      </c>
    </row>
    <row r="164" spans="1:4" ht="15" thickBot="1" x14ac:dyDescent="0.4">
      <c r="A164" s="3">
        <v>44699.770532407405</v>
      </c>
      <c r="B164" s="4">
        <v>40</v>
      </c>
      <c r="C164" s="4">
        <v>4.21</v>
      </c>
      <c r="D164">
        <f t="shared" si="2"/>
        <v>7.2636479999999999</v>
      </c>
    </row>
    <row r="165" spans="1:4" ht="15" thickBot="1" x14ac:dyDescent="0.4">
      <c r="A165" s="3">
        <v>44699.774062500001</v>
      </c>
      <c r="B165" s="4">
        <v>50</v>
      </c>
      <c r="C165" s="4">
        <v>4.3499999999999996</v>
      </c>
      <c r="D165">
        <f t="shared" si="2"/>
        <v>9.079559999999999</v>
      </c>
    </row>
    <row r="166" spans="1:4" ht="15" thickBot="1" x14ac:dyDescent="0.4">
      <c r="A166" s="3">
        <v>44699.777592592596</v>
      </c>
      <c r="B166" s="4">
        <v>35</v>
      </c>
      <c r="C166" s="4">
        <v>3.03</v>
      </c>
      <c r="D166">
        <f t="shared" si="2"/>
        <v>6.3556920000000003</v>
      </c>
    </row>
    <row r="167" spans="1:4" ht="15" thickBot="1" x14ac:dyDescent="0.4">
      <c r="A167" s="3">
        <v>44699.781122685185</v>
      </c>
      <c r="B167" s="4">
        <v>25</v>
      </c>
      <c r="C167" s="4">
        <v>2.08</v>
      </c>
      <c r="D167">
        <f t="shared" si="2"/>
        <v>4.5397799999999995</v>
      </c>
    </row>
    <row r="168" spans="1:4" ht="15" thickBot="1" x14ac:dyDescent="0.4">
      <c r="A168" s="3">
        <v>44699.78465277778</v>
      </c>
      <c r="B168" s="4">
        <v>22</v>
      </c>
      <c r="C168" s="4">
        <v>1.69</v>
      </c>
      <c r="D168">
        <f t="shared" si="2"/>
        <v>3.9950064000000003</v>
      </c>
    </row>
    <row r="169" spans="1:4" ht="15" thickBot="1" x14ac:dyDescent="0.4">
      <c r="A169" s="3">
        <v>44699.788182870368</v>
      </c>
      <c r="B169" s="4">
        <v>16</v>
      </c>
      <c r="C169" s="4">
        <v>1.2</v>
      </c>
      <c r="D169">
        <f t="shared" si="2"/>
        <v>2.9054591999999997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Power_vs_Irradiance_rpt_18May20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MP</dc:creator>
  <cp:lastModifiedBy>MP</cp:lastModifiedBy>
  <dcterms:created xsi:type="dcterms:W3CDTF">2022-11-01T09:00:01Z</dcterms:created>
  <dcterms:modified xsi:type="dcterms:W3CDTF">2023-02-05T11:01:28Z</dcterms:modified>
</cp:coreProperties>
</file>