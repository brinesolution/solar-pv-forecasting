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B1368631-381A-4365-8D07-7D44D2D52797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420" xr2:uid="{00000000-000D-0000-FFFF-FFFF00000000}"/>
  </bookViews>
  <sheets>
    <sheet name="Power_vs_Irradiance_rpt_04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<sst xmlns="http://schemas.openxmlformats.org/spreadsheetml/2006/main" count="4" uniqueCount="4">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</sst>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9F7535F-4C21-70F6-C978-C93391084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44685.209224537037</v>
      </c>
      <c r="B5" s="4">
        <v>2</v>
      </c>
      <c r="C5" s="4">
        <v>0</v>
      </c>
      <c r="D5">
        <f>B5*1513.26*0.12/1000</f>
        <v>0.36318239999999996</v>
      </c>
      <c r="E5">
        <f>AVERAGE(D5:D16)</f>
        <v>0.55990620000000002</v>
      </c>
    </row>
    <row r="6" spans="1:5" ht="15" thickBot="1" x14ac:dyDescent="0.4">
      <c r="A6" s="3">
        <v>44685.212754629632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44685.216284722221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44685.219814814816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44685.223344907405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44685.226875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44685.230405092596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44685.233935185184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44685.237453703703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44685.240995370368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44685.244513888887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44685.248055555552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44685.251585648148</v>
      </c>
      <c r="B17" s="4">
        <v>3</v>
      </c>
      <c r="C17" s="4">
        <v>0</v>
      </c>
      <c r="D17">
        <f t="shared" si="0"/>
        <v>0.54477359999999997</v>
      </c>
      <c r="E17">
        <f>AVERAGE(D17:D28)</f>
        <v>0.74149740000000008</v>
      </c>
    </row>
    <row r="18" spans="1:5" ht="15" thickBot="1" x14ac:dyDescent="0.4">
      <c r="A18" s="3">
        <v>44685.255115740743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44685.258634259262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44685.262175925927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44685.265694444446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44685.269236111111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44685.272766203707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44685.276296296295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44685.279826388891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44685.283356481479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44685.286886574075</v>
      </c>
      <c r="B27" s="4">
        <v>6</v>
      </c>
      <c r="C27" s="4">
        <v>0.36</v>
      </c>
      <c r="D27">
        <f t="shared" si="0"/>
        <v>1.0895471999999999</v>
      </c>
    </row>
    <row r="28" spans="1:5" ht="15" thickBot="1" x14ac:dyDescent="0.4">
      <c r="A28" s="3">
        <v>44685.290416666663</v>
      </c>
      <c r="B28" s="4">
        <v>9</v>
      </c>
      <c r="C28" s="4">
        <v>0.84</v>
      </c>
      <c r="D28">
        <f t="shared" si="0"/>
        <v>1.6343208</v>
      </c>
    </row>
    <row r="29" spans="1:5" ht="15" thickBot="1" x14ac:dyDescent="0.4">
      <c r="A29" s="3">
        <v>44685.293946759259</v>
      </c>
      <c r="B29" s="4">
        <v>18</v>
      </c>
      <c r="C29" s="4">
        <v>1.44</v>
      </c>
      <c r="D29">
        <f t="shared" si="0"/>
        <v>3.2686416</v>
      </c>
      <c r="E29">
        <f>AVERAGE(D29:D40)</f>
        <v>12.938372999999999</v>
      </c>
    </row>
    <row r="30" spans="1:5" ht="15" thickBot="1" x14ac:dyDescent="0.4">
      <c r="A30" s="3">
        <v>44685.297476851854</v>
      </c>
      <c r="B30" s="4">
        <v>23</v>
      </c>
      <c r="C30" s="4">
        <v>2.35</v>
      </c>
      <c r="D30">
        <f t="shared" si="0"/>
        <v>4.1765976</v>
      </c>
    </row>
    <row r="31" spans="1:5" ht="15" thickBot="1" x14ac:dyDescent="0.4">
      <c r="A31" s="3">
        <v>44685.301006944443</v>
      </c>
      <c r="B31" s="4">
        <v>32</v>
      </c>
      <c r="C31" s="4">
        <v>3.4</v>
      </c>
      <c r="D31">
        <f t="shared" si="0"/>
        <v>5.8109183999999994</v>
      </c>
    </row>
    <row r="32" spans="1:5" ht="15" thickBot="1" x14ac:dyDescent="0.4">
      <c r="A32" s="3">
        <v>44685.304537037038</v>
      </c>
      <c r="B32" s="4">
        <v>39</v>
      </c>
      <c r="C32" s="4">
        <v>4.3600000000000003</v>
      </c>
      <c r="D32">
        <f t="shared" si="0"/>
        <v>7.0820567999999993</v>
      </c>
    </row>
    <row r="33" spans="1:5" ht="15" thickBot="1" x14ac:dyDescent="0.4">
      <c r="A33" s="3">
        <v>44685.308067129627</v>
      </c>
      <c r="B33" s="4">
        <v>52</v>
      </c>
      <c r="C33" s="4">
        <v>5.73</v>
      </c>
      <c r="D33">
        <f t="shared" si="0"/>
        <v>9.4427424000000002</v>
      </c>
    </row>
    <row r="34" spans="1:5" ht="15" thickBot="1" x14ac:dyDescent="0.4">
      <c r="A34" s="3">
        <v>44685.311597222222</v>
      </c>
      <c r="B34" s="4">
        <v>60</v>
      </c>
      <c r="C34" s="4">
        <v>7.14</v>
      </c>
      <c r="D34">
        <f t="shared" si="0"/>
        <v>10.895472</v>
      </c>
    </row>
    <row r="35" spans="1:5" ht="15" thickBot="1" x14ac:dyDescent="0.4">
      <c r="A35" s="3">
        <v>44685.315127314818</v>
      </c>
      <c r="B35" s="4">
        <v>69</v>
      </c>
      <c r="C35" s="4">
        <v>8.6</v>
      </c>
      <c r="D35">
        <f t="shared" si="0"/>
        <v>12.529792799999999</v>
      </c>
    </row>
    <row r="36" spans="1:5" ht="15" thickBot="1" x14ac:dyDescent="0.4">
      <c r="A36" s="3">
        <v>44685.318657407406</v>
      </c>
      <c r="B36" s="4">
        <v>83</v>
      </c>
      <c r="C36" s="4">
        <v>10.09</v>
      </c>
      <c r="D36">
        <f t="shared" si="0"/>
        <v>15.072069599999999</v>
      </c>
    </row>
    <row r="37" spans="1:5" ht="15" thickBot="1" x14ac:dyDescent="0.4">
      <c r="A37" s="3">
        <v>44685.322187500002</v>
      </c>
      <c r="B37" s="4">
        <v>99</v>
      </c>
      <c r="C37" s="4">
        <v>12.04</v>
      </c>
      <c r="D37">
        <f t="shared" si="0"/>
        <v>17.977528799999995</v>
      </c>
    </row>
    <row r="38" spans="1:5" ht="15" thickBot="1" x14ac:dyDescent="0.4">
      <c r="A38" s="3">
        <v>44685.32571759259</v>
      </c>
      <c r="B38" s="4">
        <v>114</v>
      </c>
      <c r="C38" s="4">
        <v>14.16</v>
      </c>
      <c r="D38">
        <f t="shared" si="0"/>
        <v>20.701396799999998</v>
      </c>
    </row>
    <row r="39" spans="1:5" ht="15" thickBot="1" x14ac:dyDescent="0.4">
      <c r="A39" s="3">
        <v>44685.329247685186</v>
      </c>
      <c r="B39" s="4">
        <v>125</v>
      </c>
      <c r="C39" s="4">
        <v>15.64</v>
      </c>
      <c r="D39">
        <f t="shared" si="0"/>
        <v>22.698899999999998</v>
      </c>
    </row>
    <row r="40" spans="1:5" ht="15" thickBot="1" x14ac:dyDescent="0.4">
      <c r="A40" s="3">
        <v>44685.332777777781</v>
      </c>
      <c r="B40" s="4">
        <v>141</v>
      </c>
      <c r="C40" s="4">
        <v>17.350000000000001</v>
      </c>
      <c r="D40">
        <f t="shared" si="0"/>
        <v>25.604359199999998</v>
      </c>
    </row>
    <row r="41" spans="1:5" ht="15" thickBot="1" x14ac:dyDescent="0.4">
      <c r="A41" s="3">
        <v>44685.33630787037</v>
      </c>
      <c r="B41" s="4">
        <v>158</v>
      </c>
      <c r="C41" s="4">
        <v>19.75</v>
      </c>
      <c r="D41">
        <f t="shared" si="0"/>
        <v>28.6914096</v>
      </c>
      <c r="E41">
        <f>AVERAGE(D41:D52)</f>
        <v>47.213712000000008</v>
      </c>
    </row>
    <row r="42" spans="1:5" ht="15" thickBot="1" x14ac:dyDescent="0.4">
      <c r="A42" s="3">
        <v>44685.339837962965</v>
      </c>
      <c r="B42" s="4">
        <v>166</v>
      </c>
      <c r="C42" s="4">
        <v>20.97</v>
      </c>
      <c r="D42">
        <f t="shared" si="0"/>
        <v>30.144139199999998</v>
      </c>
    </row>
    <row r="43" spans="1:5" ht="15" thickBot="1" x14ac:dyDescent="0.4">
      <c r="A43" s="3">
        <v>44685.343368055554</v>
      </c>
      <c r="B43" s="4">
        <v>192</v>
      </c>
      <c r="C43" s="4">
        <v>24.35</v>
      </c>
      <c r="D43">
        <f t="shared" si="0"/>
        <v>34.865510399999998</v>
      </c>
    </row>
    <row r="44" spans="1:5" ht="15" thickBot="1" x14ac:dyDescent="0.4">
      <c r="A44" s="3">
        <v>44685.346898148149</v>
      </c>
      <c r="B44" s="4">
        <v>213</v>
      </c>
      <c r="C44" s="4">
        <v>27.12</v>
      </c>
      <c r="D44">
        <f t="shared" si="0"/>
        <v>38.678925599999999</v>
      </c>
    </row>
    <row r="45" spans="1:5" ht="15" thickBot="1" x14ac:dyDescent="0.4">
      <c r="A45" s="3">
        <v>44685.350428240738</v>
      </c>
      <c r="B45" s="4">
        <v>229</v>
      </c>
      <c r="C45" s="4">
        <v>29.57</v>
      </c>
      <c r="D45">
        <f t="shared" si="0"/>
        <v>41.584384799999995</v>
      </c>
    </row>
    <row r="46" spans="1:5" ht="15" thickBot="1" x14ac:dyDescent="0.4">
      <c r="A46" s="3">
        <v>44685.353958333333</v>
      </c>
      <c r="B46" s="4">
        <v>253</v>
      </c>
      <c r="C46" s="4">
        <v>32.83</v>
      </c>
      <c r="D46">
        <f t="shared" si="0"/>
        <v>45.942573599999996</v>
      </c>
    </row>
    <row r="47" spans="1:5" ht="15" thickBot="1" x14ac:dyDescent="0.4">
      <c r="A47" s="3">
        <v>44685.357476851852</v>
      </c>
      <c r="B47" s="4">
        <v>267</v>
      </c>
      <c r="C47" s="4">
        <v>35</v>
      </c>
      <c r="D47">
        <f t="shared" si="0"/>
        <v>48.484850399999999</v>
      </c>
    </row>
    <row r="48" spans="1:5" ht="15" thickBot="1" x14ac:dyDescent="0.4">
      <c r="A48" s="3">
        <v>44685.361018518517</v>
      </c>
      <c r="B48" s="4">
        <v>286</v>
      </c>
      <c r="C48" s="4">
        <v>38.049999999999997</v>
      </c>
      <c r="D48">
        <f t="shared" si="0"/>
        <v>51.935083199999994</v>
      </c>
    </row>
    <row r="49" spans="1:5" ht="15" thickBot="1" x14ac:dyDescent="0.4">
      <c r="A49" s="3">
        <v>44685.364537037036</v>
      </c>
      <c r="B49" s="4">
        <v>311</v>
      </c>
      <c r="C49" s="4">
        <v>40.799999999999997</v>
      </c>
      <c r="D49">
        <f t="shared" si="0"/>
        <v>56.474863200000001</v>
      </c>
    </row>
    <row r="50" spans="1:5" ht="15" thickBot="1" x14ac:dyDescent="0.4">
      <c r="A50" s="3">
        <v>44685.368078703701</v>
      </c>
      <c r="B50" s="4">
        <v>327</v>
      </c>
      <c r="C50" s="4">
        <v>42.99</v>
      </c>
      <c r="D50">
        <f t="shared" si="0"/>
        <v>59.380322399999997</v>
      </c>
    </row>
    <row r="51" spans="1:5" ht="15" thickBot="1" x14ac:dyDescent="0.4">
      <c r="A51" s="3">
        <v>44685.37159722222</v>
      </c>
      <c r="B51" s="4">
        <v>346</v>
      </c>
      <c r="C51" s="4">
        <v>45.46</v>
      </c>
      <c r="D51">
        <f t="shared" si="0"/>
        <v>62.830555199999999</v>
      </c>
    </row>
    <row r="52" spans="1:5" ht="15" thickBot="1" x14ac:dyDescent="0.4">
      <c r="A52" s="3">
        <v>44685.375127314815</v>
      </c>
      <c r="B52" s="4">
        <v>372</v>
      </c>
      <c r="C52" s="4">
        <v>48.93</v>
      </c>
      <c r="D52">
        <f t="shared" si="0"/>
        <v>67.551926399999999</v>
      </c>
    </row>
    <row r="53" spans="1:5" ht="15" thickBot="1" x14ac:dyDescent="0.4">
      <c r="A53" s="3">
        <v>44685.378657407404</v>
      </c>
      <c r="B53" s="4">
        <v>382</v>
      </c>
      <c r="C53" s="4">
        <v>51.19</v>
      </c>
      <c r="D53">
        <f t="shared" si="0"/>
        <v>69.367838399999997</v>
      </c>
      <c r="E53">
        <f>AVERAGE(D53:D64)</f>
        <v>73.559568599999992</v>
      </c>
    </row>
    <row r="54" spans="1:5" ht="15" thickBot="1" x14ac:dyDescent="0.4">
      <c r="A54" s="3">
        <v>44685.382187499999</v>
      </c>
      <c r="B54" s="4">
        <v>389</v>
      </c>
      <c r="C54" s="4">
        <v>49.87</v>
      </c>
      <c r="D54">
        <f t="shared" si="0"/>
        <v>70.638976800000009</v>
      </c>
    </row>
    <row r="55" spans="1:5" ht="15" thickBot="1" x14ac:dyDescent="0.4">
      <c r="A55" s="3">
        <v>44685.385717592595</v>
      </c>
      <c r="B55" s="4">
        <v>409</v>
      </c>
      <c r="C55" s="4">
        <v>49.58</v>
      </c>
      <c r="D55">
        <f t="shared" si="0"/>
        <v>74.270800800000004</v>
      </c>
    </row>
    <row r="56" spans="1:5" ht="15" thickBot="1" x14ac:dyDescent="0.4">
      <c r="A56" s="3">
        <v>44685.389247685183</v>
      </c>
      <c r="B56" s="4">
        <v>394</v>
      </c>
      <c r="C56" s="4">
        <v>57.34</v>
      </c>
      <c r="D56">
        <f t="shared" si="0"/>
        <v>71.546932799999993</v>
      </c>
    </row>
    <row r="57" spans="1:5" ht="15" thickBot="1" x14ac:dyDescent="0.4">
      <c r="A57" s="3">
        <v>44685.392777777779</v>
      </c>
      <c r="B57" s="4">
        <v>190</v>
      </c>
      <c r="C57" s="4">
        <v>23.92</v>
      </c>
      <c r="D57">
        <f t="shared" si="0"/>
        <v>34.502327999999999</v>
      </c>
    </row>
    <row r="58" spans="1:5" ht="15" thickBot="1" x14ac:dyDescent="0.4">
      <c r="A58" s="3">
        <v>44685.396307870367</v>
      </c>
      <c r="B58" s="4">
        <v>200</v>
      </c>
      <c r="C58" s="4">
        <v>25.1</v>
      </c>
      <c r="D58">
        <f t="shared" si="0"/>
        <v>36.318239999999996</v>
      </c>
    </row>
    <row r="59" spans="1:5" ht="15" thickBot="1" x14ac:dyDescent="0.4">
      <c r="A59" s="3">
        <v>44685.399837962963</v>
      </c>
      <c r="B59" s="4">
        <v>491</v>
      </c>
      <c r="C59" s="4">
        <v>65.86</v>
      </c>
      <c r="D59">
        <f t="shared" si="0"/>
        <v>89.16127920000001</v>
      </c>
    </row>
    <row r="60" spans="1:5" ht="15" thickBot="1" x14ac:dyDescent="0.4">
      <c r="A60" s="3">
        <v>44685.403368055559</v>
      </c>
      <c r="B60" s="4">
        <v>540</v>
      </c>
      <c r="C60" s="4">
        <v>69.510000000000005</v>
      </c>
      <c r="D60">
        <f t="shared" si="0"/>
        <v>98.059247999999997</v>
      </c>
    </row>
    <row r="61" spans="1:5" ht="15" thickBot="1" x14ac:dyDescent="0.4">
      <c r="A61" s="3">
        <v>44685.406898148147</v>
      </c>
      <c r="B61" s="4">
        <v>556</v>
      </c>
      <c r="C61" s="4">
        <v>71.650000000000006</v>
      </c>
      <c r="D61">
        <f t="shared" si="0"/>
        <v>100.96470719999999</v>
      </c>
    </row>
    <row r="62" spans="1:5" ht="15" thickBot="1" x14ac:dyDescent="0.4">
      <c r="A62" s="3">
        <v>44685.410428240742</v>
      </c>
      <c r="B62" s="4">
        <v>466</v>
      </c>
      <c r="C62" s="4">
        <v>61.7</v>
      </c>
      <c r="D62">
        <f t="shared" si="0"/>
        <v>84.621499200000002</v>
      </c>
    </row>
    <row r="63" spans="1:5" ht="15" thickBot="1" x14ac:dyDescent="0.4">
      <c r="A63" s="3">
        <v>44685.413958333331</v>
      </c>
      <c r="B63" s="4">
        <v>266</v>
      </c>
      <c r="C63" s="4">
        <v>32.950000000000003</v>
      </c>
      <c r="D63">
        <f t="shared" si="0"/>
        <v>48.303259199999992</v>
      </c>
    </row>
    <row r="64" spans="1:5" ht="15" thickBot="1" x14ac:dyDescent="0.4">
      <c r="A64" s="3">
        <v>44685.417488425926</v>
      </c>
      <c r="B64" s="4">
        <v>578</v>
      </c>
      <c r="C64" s="4">
        <v>75.31</v>
      </c>
      <c r="D64">
        <f t="shared" si="0"/>
        <v>104.9597136</v>
      </c>
      <c r="E64">
        <f>AVERAGE(D64:D75)</f>
        <v>93.776722199999995</v>
      </c>
    </row>
    <row r="65" spans="1:5" ht="15" thickBot="1" x14ac:dyDescent="0.4">
      <c r="A65" s="3">
        <v>44685.421018518522</v>
      </c>
      <c r="B65" s="4">
        <v>626</v>
      </c>
      <c r="C65" s="4">
        <v>80.39</v>
      </c>
      <c r="D65">
        <f t="shared" si="0"/>
        <v>113.6760912</v>
      </c>
    </row>
    <row r="66" spans="1:5" ht="15" thickBot="1" x14ac:dyDescent="0.4">
      <c r="A66" s="3">
        <v>44685.42454861111</v>
      </c>
      <c r="B66" s="4">
        <v>673</v>
      </c>
      <c r="C66" s="4">
        <v>84.59</v>
      </c>
      <c r="D66">
        <f t="shared" si="0"/>
        <v>122.21087759999999</v>
      </c>
    </row>
    <row r="67" spans="1:5" ht="15" thickBot="1" x14ac:dyDescent="0.4">
      <c r="A67" s="3">
        <v>44685.428078703706</v>
      </c>
      <c r="B67" s="4">
        <v>328</v>
      </c>
      <c r="C67" s="4">
        <v>38.869999999999997</v>
      </c>
      <c r="D67">
        <f t="shared" si="0"/>
        <v>59.56191359999999</v>
      </c>
    </row>
    <row r="68" spans="1:5" ht="15" thickBot="1" x14ac:dyDescent="0.4">
      <c r="A68" s="3">
        <v>44685.431620370371</v>
      </c>
      <c r="B68" s="4">
        <v>709</v>
      </c>
      <c r="C68" s="4">
        <v>87.43</v>
      </c>
      <c r="D68">
        <f t="shared" si="0"/>
        <v>128.74816080000002</v>
      </c>
    </row>
    <row r="69" spans="1:5" ht="15" thickBot="1" x14ac:dyDescent="0.4">
      <c r="A69" s="3">
        <v>44685.435150462959</v>
      </c>
      <c r="B69" s="4">
        <v>750</v>
      </c>
      <c r="C69" s="4">
        <v>93.65</v>
      </c>
      <c r="D69">
        <f t="shared" si="0"/>
        <v>136.1934</v>
      </c>
    </row>
    <row r="70" spans="1:5" ht="15" thickBot="1" x14ac:dyDescent="0.4">
      <c r="A70" s="3">
        <v>44685.438680555555</v>
      </c>
      <c r="B70" s="4">
        <v>732</v>
      </c>
      <c r="C70" s="4">
        <v>93.17</v>
      </c>
      <c r="D70">
        <f t="shared" ref="D70:D133" si="1">B70*1513.26*0.12/1000</f>
        <v>132.9247584</v>
      </c>
    </row>
    <row r="71" spans="1:5" ht="15" thickBot="1" x14ac:dyDescent="0.4">
      <c r="A71" s="3">
        <v>44685.442210648151</v>
      </c>
      <c r="B71" s="4">
        <v>744</v>
      </c>
      <c r="C71" s="4">
        <v>71.06</v>
      </c>
      <c r="D71">
        <f t="shared" si="1"/>
        <v>135.1038528</v>
      </c>
    </row>
    <row r="72" spans="1:5" ht="15" thickBot="1" x14ac:dyDescent="0.4">
      <c r="A72" s="3">
        <v>44685.445740740739</v>
      </c>
      <c r="B72" s="4">
        <v>260</v>
      </c>
      <c r="C72" s="4">
        <v>32.25</v>
      </c>
      <c r="D72">
        <f t="shared" si="1"/>
        <v>47.213711999999994</v>
      </c>
    </row>
    <row r="73" spans="1:5" ht="15" thickBot="1" x14ac:dyDescent="0.4">
      <c r="A73" s="3">
        <v>44685.449270833335</v>
      </c>
      <c r="B73" s="4">
        <v>272</v>
      </c>
      <c r="C73" s="4">
        <v>33.770000000000003</v>
      </c>
      <c r="D73">
        <f t="shared" si="1"/>
        <v>49.392806399999991</v>
      </c>
    </row>
    <row r="74" spans="1:5" ht="15" thickBot="1" x14ac:dyDescent="0.4">
      <c r="A74" s="3">
        <v>44685.452800925923</v>
      </c>
      <c r="B74" s="4">
        <v>267</v>
      </c>
      <c r="C74" s="4">
        <v>33.43</v>
      </c>
      <c r="D74">
        <f t="shared" si="1"/>
        <v>48.484850399999999</v>
      </c>
    </row>
    <row r="75" spans="1:5" ht="15" thickBot="1" x14ac:dyDescent="0.4">
      <c r="A75" s="3">
        <v>44685.456331018519</v>
      </c>
      <c r="B75" s="4">
        <v>258</v>
      </c>
      <c r="C75" s="4">
        <v>32.159999999999997</v>
      </c>
      <c r="D75">
        <f t="shared" si="1"/>
        <v>46.850529600000002</v>
      </c>
    </row>
    <row r="76" spans="1:5" ht="15" thickBot="1" x14ac:dyDescent="0.4">
      <c r="A76" s="3">
        <v>44685.459861111114</v>
      </c>
      <c r="B76" s="4">
        <v>734</v>
      </c>
      <c r="C76" s="4">
        <v>59.16</v>
      </c>
      <c r="D76">
        <f t="shared" si="1"/>
        <v>133.2879408</v>
      </c>
      <c r="E76">
        <f>AVERAGE(D76:D87)</f>
        <v>102.35690639999997</v>
      </c>
    </row>
    <row r="77" spans="1:5" ht="15" thickBot="1" x14ac:dyDescent="0.4">
      <c r="A77" s="3">
        <v>44685.463391203702</v>
      </c>
      <c r="B77" s="4">
        <v>855</v>
      </c>
      <c r="C77" s="4">
        <v>105.36</v>
      </c>
      <c r="D77">
        <f t="shared" si="1"/>
        <v>155.26047599999998</v>
      </c>
    </row>
    <row r="78" spans="1:5" ht="15" thickBot="1" x14ac:dyDescent="0.4">
      <c r="A78" s="3">
        <v>44685.466921296298</v>
      </c>
      <c r="B78" s="4">
        <v>289</v>
      </c>
      <c r="C78" s="4">
        <v>35.24</v>
      </c>
      <c r="D78">
        <f t="shared" si="1"/>
        <v>52.4798568</v>
      </c>
    </row>
    <row r="79" spans="1:5" ht="15" thickBot="1" x14ac:dyDescent="0.4">
      <c r="A79" s="3">
        <v>44685.470451388886</v>
      </c>
      <c r="B79" s="4">
        <v>376</v>
      </c>
      <c r="C79" s="4">
        <v>47.34</v>
      </c>
      <c r="D79">
        <f t="shared" si="1"/>
        <v>68.278291199999998</v>
      </c>
    </row>
    <row r="80" spans="1:5" ht="15" thickBot="1" x14ac:dyDescent="0.4">
      <c r="A80" s="3">
        <v>44685.473981481482</v>
      </c>
      <c r="B80" s="4">
        <v>747</v>
      </c>
      <c r="C80" s="4">
        <v>98.04</v>
      </c>
      <c r="D80">
        <f t="shared" si="1"/>
        <v>135.64862639999998</v>
      </c>
    </row>
    <row r="81" spans="1:5" ht="15" thickBot="1" x14ac:dyDescent="0.4">
      <c r="A81" s="3">
        <v>44685.477511574078</v>
      </c>
      <c r="B81" s="4">
        <v>608</v>
      </c>
      <c r="C81" s="4">
        <v>82.58</v>
      </c>
      <c r="D81">
        <f t="shared" si="1"/>
        <v>110.40744959999999</v>
      </c>
    </row>
    <row r="82" spans="1:5" ht="15" thickBot="1" x14ac:dyDescent="0.4">
      <c r="A82" s="3">
        <v>44685.481041666666</v>
      </c>
      <c r="B82" s="4">
        <v>873</v>
      </c>
      <c r="C82" s="4">
        <v>104.34</v>
      </c>
      <c r="D82">
        <f t="shared" si="1"/>
        <v>158.52911760000001</v>
      </c>
    </row>
    <row r="83" spans="1:5" ht="15" thickBot="1" x14ac:dyDescent="0.4">
      <c r="A83" s="3">
        <v>44685.484560185185</v>
      </c>
      <c r="B83" s="4">
        <v>544</v>
      </c>
      <c r="C83" s="4">
        <v>58.62</v>
      </c>
      <c r="D83">
        <f t="shared" si="1"/>
        <v>98.785612799999981</v>
      </c>
    </row>
    <row r="84" spans="1:5" ht="15" thickBot="1" x14ac:dyDescent="0.4">
      <c r="A84" s="3">
        <v>44685.48810185185</v>
      </c>
      <c r="B84" s="4">
        <v>896</v>
      </c>
      <c r="C84" s="4">
        <v>107.44</v>
      </c>
      <c r="D84">
        <f t="shared" si="1"/>
        <v>162.70571519999999</v>
      </c>
    </row>
    <row r="85" spans="1:5" ht="15" thickBot="1" x14ac:dyDescent="0.4">
      <c r="A85" s="3">
        <v>44685.491620370369</v>
      </c>
      <c r="B85" s="4">
        <v>313</v>
      </c>
      <c r="C85" s="4">
        <v>36.93</v>
      </c>
      <c r="D85">
        <f t="shared" si="1"/>
        <v>56.838045600000001</v>
      </c>
    </row>
    <row r="86" spans="1:5" ht="15" thickBot="1" x14ac:dyDescent="0.4">
      <c r="A86" s="3">
        <v>44685.495162037034</v>
      </c>
      <c r="B86" s="4">
        <v>269</v>
      </c>
      <c r="C86" s="4">
        <v>31.87</v>
      </c>
      <c r="D86">
        <f t="shared" si="1"/>
        <v>48.848032799999999</v>
      </c>
    </row>
    <row r="87" spans="1:5" ht="15" thickBot="1" x14ac:dyDescent="0.4">
      <c r="A87" s="3">
        <v>44685.498680555553</v>
      </c>
      <c r="B87" s="4">
        <v>260</v>
      </c>
      <c r="C87" s="4">
        <v>31.71</v>
      </c>
      <c r="D87">
        <f t="shared" si="1"/>
        <v>47.213711999999994</v>
      </c>
    </row>
    <row r="88" spans="1:5" ht="15" thickBot="1" x14ac:dyDescent="0.4">
      <c r="A88" s="3">
        <v>44685.502210648148</v>
      </c>
      <c r="B88" s="4">
        <v>276</v>
      </c>
      <c r="C88" s="4">
        <v>33.79</v>
      </c>
      <c r="D88">
        <f t="shared" si="1"/>
        <v>50.119171199999997</v>
      </c>
      <c r="E88">
        <f>AVERAGE(D88:D99)</f>
        <v>89.569859399999999</v>
      </c>
    </row>
    <row r="89" spans="1:5" ht="15" thickBot="1" x14ac:dyDescent="0.4">
      <c r="A89" s="3">
        <v>44685.505740740744</v>
      </c>
      <c r="B89" s="4">
        <v>315</v>
      </c>
      <c r="C89" s="4">
        <v>38.31</v>
      </c>
      <c r="D89">
        <f t="shared" si="1"/>
        <v>57.201228</v>
      </c>
    </row>
    <row r="90" spans="1:5" ht="15" thickBot="1" x14ac:dyDescent="0.4">
      <c r="A90" s="3">
        <v>44685.509270833332</v>
      </c>
      <c r="B90" s="4">
        <v>795</v>
      </c>
      <c r="C90" s="4">
        <v>92.45</v>
      </c>
      <c r="D90">
        <f t="shared" si="1"/>
        <v>144.365004</v>
      </c>
    </row>
    <row r="91" spans="1:5" ht="15" thickBot="1" x14ac:dyDescent="0.4">
      <c r="A91" s="3">
        <v>44685.512800925928</v>
      </c>
      <c r="B91" s="4">
        <v>307</v>
      </c>
      <c r="C91" s="4">
        <v>37.33</v>
      </c>
      <c r="D91">
        <f t="shared" si="1"/>
        <v>55.748498399999995</v>
      </c>
    </row>
    <row r="92" spans="1:5" ht="15" thickBot="1" x14ac:dyDescent="0.4">
      <c r="A92" s="3">
        <v>44685.516331018516</v>
      </c>
      <c r="B92" s="4">
        <v>298</v>
      </c>
      <c r="C92" s="4">
        <v>35.950000000000003</v>
      </c>
      <c r="D92">
        <f t="shared" si="1"/>
        <v>54.114177599999998</v>
      </c>
    </row>
    <row r="93" spans="1:5" ht="15" thickBot="1" x14ac:dyDescent="0.4">
      <c r="A93" s="3">
        <v>44685.519861111112</v>
      </c>
      <c r="B93" s="4">
        <v>288</v>
      </c>
      <c r="C93" s="4">
        <v>35.11</v>
      </c>
      <c r="D93">
        <f t="shared" si="1"/>
        <v>52.298265600000001</v>
      </c>
    </row>
    <row r="94" spans="1:5" ht="15" thickBot="1" x14ac:dyDescent="0.4">
      <c r="A94" s="3">
        <v>44685.5233912037</v>
      </c>
      <c r="B94" s="4">
        <v>339</v>
      </c>
      <c r="C94" s="4">
        <v>41.27</v>
      </c>
      <c r="D94">
        <f t="shared" si="1"/>
        <v>61.559416800000001</v>
      </c>
    </row>
    <row r="95" spans="1:5" ht="15" thickBot="1" x14ac:dyDescent="0.4">
      <c r="A95" s="3">
        <v>44685.526921296296</v>
      </c>
      <c r="B95" s="4">
        <v>922</v>
      </c>
      <c r="C95" s="4">
        <v>111.51</v>
      </c>
      <c r="D95">
        <f t="shared" si="1"/>
        <v>167.42708640000001</v>
      </c>
    </row>
    <row r="96" spans="1:5" ht="15" thickBot="1" x14ac:dyDescent="0.4">
      <c r="A96" s="3">
        <v>44685.530451388891</v>
      </c>
      <c r="B96" s="4">
        <v>959</v>
      </c>
      <c r="C96" s="4">
        <v>113.13</v>
      </c>
      <c r="D96">
        <f t="shared" si="1"/>
        <v>174.14596080000001</v>
      </c>
    </row>
    <row r="97" spans="1:5" ht="15" thickBot="1" x14ac:dyDescent="0.4">
      <c r="A97" s="3">
        <v>44685.53398148148</v>
      </c>
      <c r="B97" s="4">
        <v>448</v>
      </c>
      <c r="C97" s="4">
        <v>53.14</v>
      </c>
      <c r="D97">
        <f t="shared" si="1"/>
        <v>81.352857599999993</v>
      </c>
    </row>
    <row r="98" spans="1:5" ht="15" thickBot="1" x14ac:dyDescent="0.4">
      <c r="A98" s="3">
        <v>44685.537511574075</v>
      </c>
      <c r="B98" s="4">
        <v>521</v>
      </c>
      <c r="C98" s="4">
        <v>56.84</v>
      </c>
      <c r="D98">
        <f t="shared" si="1"/>
        <v>94.609015199999988</v>
      </c>
    </row>
    <row r="99" spans="1:5" ht="15" thickBot="1" x14ac:dyDescent="0.4">
      <c r="A99" s="3">
        <v>44685.541041666664</v>
      </c>
      <c r="B99" s="4">
        <v>451</v>
      </c>
      <c r="C99" s="4">
        <v>55.01</v>
      </c>
      <c r="D99">
        <f t="shared" si="1"/>
        <v>81.897631200000006</v>
      </c>
    </row>
    <row r="100" spans="1:5" ht="15" thickBot="1" x14ac:dyDescent="0.4">
      <c r="A100" s="3">
        <v>44685.544571759259</v>
      </c>
      <c r="B100" s="4">
        <v>837</v>
      </c>
      <c r="C100" s="4">
        <v>96.67</v>
      </c>
      <c r="D100">
        <f t="shared" si="1"/>
        <v>151.99183439999999</v>
      </c>
      <c r="E100">
        <f>AVERAGE(D100:D111)</f>
        <v>127.17437039999999</v>
      </c>
    </row>
    <row r="101" spans="1:5" ht="15" thickBot="1" x14ac:dyDescent="0.4">
      <c r="A101" s="3">
        <v>44685.548101851855</v>
      </c>
      <c r="B101" s="4">
        <v>395</v>
      </c>
      <c r="C101" s="4">
        <v>48.16</v>
      </c>
      <c r="D101">
        <f t="shared" si="1"/>
        <v>71.728523999999993</v>
      </c>
    </row>
    <row r="102" spans="1:5" ht="15" thickBot="1" x14ac:dyDescent="0.4">
      <c r="A102" s="3">
        <v>44685.551631944443</v>
      </c>
      <c r="B102" s="4">
        <v>904</v>
      </c>
      <c r="C102" s="4">
        <v>108.14</v>
      </c>
      <c r="D102">
        <f t="shared" si="1"/>
        <v>164.15844479999998</v>
      </c>
    </row>
    <row r="103" spans="1:5" ht="15" thickBot="1" x14ac:dyDescent="0.4">
      <c r="A103" s="3">
        <v>44685.555162037039</v>
      </c>
      <c r="B103" s="4">
        <v>911</v>
      </c>
      <c r="C103" s="4">
        <v>106.81</v>
      </c>
      <c r="D103">
        <f t="shared" si="1"/>
        <v>165.4295832</v>
      </c>
    </row>
    <row r="104" spans="1:5" ht="15" thickBot="1" x14ac:dyDescent="0.4">
      <c r="A104" s="3">
        <v>44685.558692129627</v>
      </c>
      <c r="B104" s="4">
        <v>436</v>
      </c>
      <c r="C104" s="4">
        <v>50.77</v>
      </c>
      <c r="D104">
        <f t="shared" si="1"/>
        <v>79.173763199999996</v>
      </c>
    </row>
    <row r="105" spans="1:5" ht="15" thickBot="1" x14ac:dyDescent="0.4">
      <c r="A105" s="3">
        <v>44685.562222222223</v>
      </c>
      <c r="B105" s="4">
        <v>501</v>
      </c>
      <c r="C105" s="4">
        <v>65.53</v>
      </c>
      <c r="D105">
        <f t="shared" si="1"/>
        <v>90.977191200000007</v>
      </c>
    </row>
    <row r="106" spans="1:5" ht="15" thickBot="1" x14ac:dyDescent="0.4">
      <c r="A106" s="3">
        <v>44685.565752314818</v>
      </c>
      <c r="B106" s="4">
        <v>944</v>
      </c>
      <c r="C106" s="4">
        <v>108.5</v>
      </c>
      <c r="D106">
        <f t="shared" si="1"/>
        <v>171.42209279999997</v>
      </c>
    </row>
    <row r="107" spans="1:5" ht="15" thickBot="1" x14ac:dyDescent="0.4">
      <c r="A107" s="3">
        <v>44685.569282407407</v>
      </c>
      <c r="B107" s="4">
        <v>932</v>
      </c>
      <c r="C107" s="4">
        <v>108.67</v>
      </c>
      <c r="D107">
        <f t="shared" si="1"/>
        <v>169.2429984</v>
      </c>
    </row>
    <row r="108" spans="1:5" ht="15" thickBot="1" x14ac:dyDescent="0.4">
      <c r="A108" s="3">
        <v>44685.572812500002</v>
      </c>
      <c r="B108" s="4">
        <v>467</v>
      </c>
      <c r="C108" s="4">
        <v>53.89</v>
      </c>
      <c r="D108">
        <f t="shared" si="1"/>
        <v>84.803090400000002</v>
      </c>
    </row>
    <row r="109" spans="1:5" ht="15" thickBot="1" x14ac:dyDescent="0.4">
      <c r="A109" s="3">
        <v>44685.576342592591</v>
      </c>
      <c r="B109" s="4">
        <v>794</v>
      </c>
      <c r="C109" s="4">
        <v>94.42</v>
      </c>
      <c r="D109">
        <f t="shared" si="1"/>
        <v>144.18341279999999</v>
      </c>
    </row>
    <row r="110" spans="1:5" ht="15" thickBot="1" x14ac:dyDescent="0.4">
      <c r="A110" s="3">
        <v>44685.579872685186</v>
      </c>
      <c r="B110" s="4">
        <v>876</v>
      </c>
      <c r="C110" s="4">
        <v>102.56</v>
      </c>
      <c r="D110">
        <f t="shared" si="1"/>
        <v>159.07389119999999</v>
      </c>
    </row>
    <row r="111" spans="1:5" ht="15" thickBot="1" x14ac:dyDescent="0.4">
      <c r="A111" s="3">
        <v>44685.583402777775</v>
      </c>
      <c r="B111" s="4">
        <v>407</v>
      </c>
      <c r="C111" s="4">
        <v>62.42</v>
      </c>
      <c r="D111">
        <f t="shared" si="1"/>
        <v>73.90761839999999</v>
      </c>
    </row>
    <row r="112" spans="1:5" ht="15" thickBot="1" x14ac:dyDescent="0.4">
      <c r="A112" s="3">
        <v>44685.58693287037</v>
      </c>
      <c r="B112" s="4">
        <v>839</v>
      </c>
      <c r="C112" s="4">
        <v>98.6</v>
      </c>
      <c r="D112">
        <f t="shared" si="1"/>
        <v>152.35501679999999</v>
      </c>
      <c r="E112">
        <f>AVERAGE(D112:D123)</f>
        <v>140.53645619999998</v>
      </c>
    </row>
    <row r="113" spans="1:5" ht="15" thickBot="1" x14ac:dyDescent="0.4">
      <c r="A113" s="3">
        <v>44685.590462962966</v>
      </c>
      <c r="B113" s="4">
        <v>815</v>
      </c>
      <c r="C113" s="4">
        <v>95.29</v>
      </c>
      <c r="D113">
        <f t="shared" si="1"/>
        <v>147.99682799999999</v>
      </c>
    </row>
    <row r="114" spans="1:5" ht="15" thickBot="1" x14ac:dyDescent="0.4">
      <c r="A114" s="3">
        <v>44685.594004629631</v>
      </c>
      <c r="B114" s="4">
        <v>815</v>
      </c>
      <c r="C114" s="4">
        <v>94.72</v>
      </c>
      <c r="D114">
        <f t="shared" si="1"/>
        <v>147.99682799999999</v>
      </c>
    </row>
    <row r="115" spans="1:5" ht="15" thickBot="1" x14ac:dyDescent="0.4">
      <c r="A115" s="3">
        <v>44685.597534722219</v>
      </c>
      <c r="B115" s="4">
        <v>791</v>
      </c>
      <c r="C115" s="4">
        <v>92.69</v>
      </c>
      <c r="D115">
        <f t="shared" si="1"/>
        <v>143.63863919999997</v>
      </c>
    </row>
    <row r="116" spans="1:5" ht="15" thickBot="1" x14ac:dyDescent="0.4">
      <c r="A116" s="3">
        <v>44685.601064814815</v>
      </c>
      <c r="B116" s="4">
        <v>796</v>
      </c>
      <c r="C116" s="4">
        <v>92.7</v>
      </c>
      <c r="D116">
        <f t="shared" si="1"/>
        <v>144.54659519999998</v>
      </c>
    </row>
    <row r="117" spans="1:5" ht="15" thickBot="1" x14ac:dyDescent="0.4">
      <c r="A117" s="3">
        <v>44685.604594907411</v>
      </c>
      <c r="B117" s="4">
        <v>784</v>
      </c>
      <c r="C117" s="4">
        <v>91.19</v>
      </c>
      <c r="D117">
        <f t="shared" si="1"/>
        <v>142.36750080000002</v>
      </c>
    </row>
    <row r="118" spans="1:5" ht="15" thickBot="1" x14ac:dyDescent="0.4">
      <c r="A118" s="3">
        <v>44685.608124999999</v>
      </c>
      <c r="B118" s="4">
        <v>780</v>
      </c>
      <c r="C118" s="4">
        <v>90.34</v>
      </c>
      <c r="D118">
        <f t="shared" si="1"/>
        <v>141.64113599999999</v>
      </c>
    </row>
    <row r="119" spans="1:5" ht="15" thickBot="1" x14ac:dyDescent="0.4">
      <c r="A119" s="3">
        <v>44685.611655092594</v>
      </c>
      <c r="B119" s="4">
        <v>770</v>
      </c>
      <c r="C119" s="4">
        <v>89.58</v>
      </c>
      <c r="D119">
        <f t="shared" si="1"/>
        <v>139.82522399999999</v>
      </c>
    </row>
    <row r="120" spans="1:5" ht="15" thickBot="1" x14ac:dyDescent="0.4">
      <c r="A120" s="3">
        <v>44685.615185185183</v>
      </c>
      <c r="B120" s="4">
        <v>745</v>
      </c>
      <c r="C120" s="4">
        <v>86.64</v>
      </c>
      <c r="D120">
        <f t="shared" si="1"/>
        <v>135.28544399999998</v>
      </c>
    </row>
    <row r="121" spans="1:5" ht="15" thickBot="1" x14ac:dyDescent="0.4">
      <c r="A121" s="3">
        <v>44685.618715277778</v>
      </c>
      <c r="B121" s="4">
        <v>738</v>
      </c>
      <c r="C121" s="4">
        <v>85.8</v>
      </c>
      <c r="D121">
        <f t="shared" si="1"/>
        <v>134.0143056</v>
      </c>
    </row>
    <row r="122" spans="1:5" ht="15" thickBot="1" x14ac:dyDescent="0.4">
      <c r="A122" s="3">
        <v>44685.622245370374</v>
      </c>
      <c r="B122" s="4">
        <v>714</v>
      </c>
      <c r="C122" s="4">
        <v>83.37</v>
      </c>
      <c r="D122">
        <f t="shared" si="1"/>
        <v>129.65611679999998</v>
      </c>
    </row>
    <row r="123" spans="1:5" ht="15" thickBot="1" x14ac:dyDescent="0.4">
      <c r="A123" s="3">
        <v>44685.625775462962</v>
      </c>
      <c r="B123" s="4">
        <v>700</v>
      </c>
      <c r="C123" s="4">
        <v>81.39</v>
      </c>
      <c r="D123">
        <f t="shared" si="1"/>
        <v>127.11384</v>
      </c>
      <c r="E123">
        <f>AVERAGE(D123:D134)</f>
        <v>113.28264359999999</v>
      </c>
    </row>
    <row r="124" spans="1:5" ht="15" thickBot="1" x14ac:dyDescent="0.4">
      <c r="A124" s="3">
        <v>44685.629305555558</v>
      </c>
      <c r="B124" s="4">
        <v>694</v>
      </c>
      <c r="C124" s="4">
        <v>80.459999999999994</v>
      </c>
      <c r="D124">
        <f t="shared" si="1"/>
        <v>126.0242928</v>
      </c>
    </row>
    <row r="125" spans="1:5" ht="15" thickBot="1" x14ac:dyDescent="0.4">
      <c r="A125" s="3">
        <v>44685.632835648146</v>
      </c>
      <c r="B125" s="4">
        <v>679</v>
      </c>
      <c r="C125" s="4">
        <v>78.819999999999993</v>
      </c>
      <c r="D125">
        <f t="shared" si="1"/>
        <v>123.30042479999999</v>
      </c>
    </row>
    <row r="126" spans="1:5" ht="15" thickBot="1" x14ac:dyDescent="0.4">
      <c r="A126" s="3">
        <v>44685.636365740742</v>
      </c>
      <c r="B126" s="4">
        <v>675</v>
      </c>
      <c r="C126" s="4">
        <v>78.040000000000006</v>
      </c>
      <c r="D126">
        <f t="shared" si="1"/>
        <v>122.57406</v>
      </c>
    </row>
    <row r="127" spans="1:5" ht="15" thickBot="1" x14ac:dyDescent="0.4">
      <c r="A127" s="3">
        <v>44685.63989583333</v>
      </c>
      <c r="B127" s="4">
        <v>657</v>
      </c>
      <c r="C127" s="4">
        <v>76.17</v>
      </c>
      <c r="D127">
        <f t="shared" si="1"/>
        <v>119.30541839999999</v>
      </c>
    </row>
    <row r="128" spans="1:5" ht="15" thickBot="1" x14ac:dyDescent="0.4">
      <c r="A128" s="3">
        <v>44685.643425925926</v>
      </c>
      <c r="B128" s="4">
        <v>649</v>
      </c>
      <c r="C128" s="4">
        <v>75.17</v>
      </c>
      <c r="D128">
        <f t="shared" si="1"/>
        <v>117.8526888</v>
      </c>
    </row>
    <row r="129" spans="1:5" ht="15" thickBot="1" x14ac:dyDescent="0.4">
      <c r="A129" s="3">
        <v>44685.646944444445</v>
      </c>
      <c r="B129" s="4">
        <v>629</v>
      </c>
      <c r="C129" s="4">
        <v>73.260000000000005</v>
      </c>
      <c r="D129">
        <f t="shared" si="1"/>
        <v>114.2208648</v>
      </c>
    </row>
    <row r="130" spans="1:5" ht="15" thickBot="1" x14ac:dyDescent="0.4">
      <c r="A130" s="3">
        <v>44685.65048611111</v>
      </c>
      <c r="B130" s="4">
        <v>618</v>
      </c>
      <c r="C130" s="4">
        <v>71.930000000000007</v>
      </c>
      <c r="D130">
        <f t="shared" si="1"/>
        <v>112.2233616</v>
      </c>
    </row>
    <row r="131" spans="1:5" ht="15" thickBot="1" x14ac:dyDescent="0.4">
      <c r="A131" s="3">
        <v>44685.654004629629</v>
      </c>
      <c r="B131" s="4">
        <v>595</v>
      </c>
      <c r="C131" s="4">
        <v>68.94</v>
      </c>
      <c r="D131">
        <f t="shared" si="1"/>
        <v>108.046764</v>
      </c>
    </row>
    <row r="132" spans="1:5" ht="15" thickBot="1" x14ac:dyDescent="0.4">
      <c r="A132" s="3">
        <v>44685.657546296294</v>
      </c>
      <c r="B132" s="4">
        <v>587</v>
      </c>
      <c r="C132" s="4">
        <v>67.849999999999994</v>
      </c>
      <c r="D132">
        <f t="shared" si="1"/>
        <v>106.59403439999998</v>
      </c>
    </row>
    <row r="133" spans="1:5" ht="15" thickBot="1" x14ac:dyDescent="0.4">
      <c r="A133" s="3">
        <v>44685.661064814813</v>
      </c>
      <c r="B133" s="4">
        <v>572</v>
      </c>
      <c r="C133" s="4">
        <v>66.55</v>
      </c>
      <c r="D133">
        <f t="shared" si="1"/>
        <v>103.87016639999999</v>
      </c>
    </row>
    <row r="134" spans="1:5" ht="15" thickBot="1" x14ac:dyDescent="0.4">
      <c r="A134" s="3">
        <v>44685.664594907408</v>
      </c>
      <c r="B134" s="4">
        <v>431</v>
      </c>
      <c r="C134" s="4">
        <v>51.91</v>
      </c>
      <c r="D134">
        <f t="shared" ref="D134:D169" si="2">B134*1513.26*0.12/1000</f>
        <v>78.265807199999998</v>
      </c>
    </row>
    <row r="135" spans="1:5" ht="15" thickBot="1" x14ac:dyDescent="0.4">
      <c r="A135" s="3">
        <v>44685.668124999997</v>
      </c>
      <c r="B135" s="4">
        <v>184</v>
      </c>
      <c r="C135" s="4">
        <v>22.11</v>
      </c>
      <c r="D135">
        <f t="shared" si="2"/>
        <v>33.4127808</v>
      </c>
      <c r="E135">
        <f>AVERAGE(D135:D146)</f>
        <v>15.541180199999999</v>
      </c>
    </row>
    <row r="136" spans="1:5" ht="15" thickBot="1" x14ac:dyDescent="0.4">
      <c r="A136" s="3">
        <v>44685.671678240738</v>
      </c>
      <c r="B136" s="4">
        <v>140</v>
      </c>
      <c r="C136" s="4">
        <v>16.350000000000001</v>
      </c>
      <c r="D136">
        <f t="shared" si="2"/>
        <v>25.422768000000001</v>
      </c>
    </row>
    <row r="137" spans="1:5" ht="15" thickBot="1" x14ac:dyDescent="0.4">
      <c r="A137" s="3">
        <v>44685.675208333334</v>
      </c>
      <c r="B137" s="4">
        <v>99</v>
      </c>
      <c r="C137" s="4">
        <v>11.31</v>
      </c>
      <c r="D137">
        <f t="shared" si="2"/>
        <v>17.977528799999995</v>
      </c>
    </row>
    <row r="138" spans="1:5" ht="15" thickBot="1" x14ac:dyDescent="0.4">
      <c r="A138" s="3">
        <v>44685.678738425922</v>
      </c>
      <c r="B138" s="4">
        <v>75</v>
      </c>
      <c r="C138" s="4">
        <v>8.5</v>
      </c>
      <c r="D138">
        <f t="shared" si="2"/>
        <v>13.619339999999999</v>
      </c>
    </row>
    <row r="139" spans="1:5" ht="15" thickBot="1" x14ac:dyDescent="0.4">
      <c r="A139" s="3">
        <v>44685.682268518518</v>
      </c>
      <c r="B139" s="4">
        <v>65</v>
      </c>
      <c r="C139" s="4">
        <v>7.22</v>
      </c>
      <c r="D139">
        <f t="shared" si="2"/>
        <v>11.803427999999998</v>
      </c>
    </row>
    <row r="140" spans="1:5" ht="15" thickBot="1" x14ac:dyDescent="0.4">
      <c r="A140" s="3">
        <v>44685.685798611114</v>
      </c>
      <c r="B140" s="4">
        <v>60</v>
      </c>
      <c r="C140" s="4">
        <v>6.63</v>
      </c>
      <c r="D140">
        <f t="shared" si="2"/>
        <v>10.895472</v>
      </c>
    </row>
    <row r="141" spans="1:5" ht="15" thickBot="1" x14ac:dyDescent="0.4">
      <c r="A141" s="3">
        <v>44685.689328703702</v>
      </c>
      <c r="B141" s="4">
        <v>64</v>
      </c>
      <c r="C141" s="4">
        <v>6.88</v>
      </c>
      <c r="D141">
        <f t="shared" si="2"/>
        <v>11.621836799999999</v>
      </c>
    </row>
    <row r="142" spans="1:5" ht="15" thickBot="1" x14ac:dyDescent="0.4">
      <c r="A142" s="3">
        <v>44685.692858796298</v>
      </c>
      <c r="B142" s="4">
        <v>62</v>
      </c>
      <c r="C142" s="4">
        <v>6.84</v>
      </c>
      <c r="D142">
        <f t="shared" si="2"/>
        <v>11.258654399999999</v>
      </c>
    </row>
    <row r="143" spans="1:5" ht="15" thickBot="1" x14ac:dyDescent="0.4">
      <c r="A143" s="3">
        <v>44685.696388888886</v>
      </c>
      <c r="B143" s="4">
        <v>69</v>
      </c>
      <c r="C143" s="4">
        <v>7.49</v>
      </c>
      <c r="D143">
        <f t="shared" si="2"/>
        <v>12.529792799999999</v>
      </c>
    </row>
    <row r="144" spans="1:5" ht="15" thickBot="1" x14ac:dyDescent="0.4">
      <c r="A144" s="3">
        <v>44685.699918981481</v>
      </c>
      <c r="B144" s="4">
        <v>68</v>
      </c>
      <c r="C144" s="4">
        <v>7.79</v>
      </c>
      <c r="D144">
        <f t="shared" si="2"/>
        <v>12.348201599999998</v>
      </c>
    </row>
    <row r="145" spans="1:5" ht="15" thickBot="1" x14ac:dyDescent="0.4">
      <c r="A145" s="3">
        <v>44685.703449074077</v>
      </c>
      <c r="B145" s="4">
        <v>69</v>
      </c>
      <c r="C145" s="4">
        <v>7.88</v>
      </c>
      <c r="D145">
        <f t="shared" si="2"/>
        <v>12.529792799999999</v>
      </c>
    </row>
    <row r="146" spans="1:5" ht="15" thickBot="1" x14ac:dyDescent="0.4">
      <c r="A146" s="3">
        <v>44685.706979166665</v>
      </c>
      <c r="B146" s="4">
        <v>72</v>
      </c>
      <c r="C146" s="4">
        <v>8.07</v>
      </c>
      <c r="D146">
        <f t="shared" si="2"/>
        <v>13.0745664</v>
      </c>
    </row>
    <row r="147" spans="1:5" ht="15" thickBot="1" x14ac:dyDescent="0.4">
      <c r="A147" s="3">
        <v>44685.710509259261</v>
      </c>
      <c r="B147" s="4">
        <v>72</v>
      </c>
      <c r="C147" s="4">
        <v>8.02</v>
      </c>
      <c r="D147">
        <f t="shared" si="2"/>
        <v>13.0745664</v>
      </c>
      <c r="E147">
        <f>AVERAGE(D147:D158)</f>
        <v>11.939621399999998</v>
      </c>
    </row>
    <row r="148" spans="1:5" ht="15" thickBot="1" x14ac:dyDescent="0.4">
      <c r="A148" s="3">
        <v>44685.714039351849</v>
      </c>
      <c r="B148" s="4">
        <v>68</v>
      </c>
      <c r="C148" s="4">
        <v>7.47</v>
      </c>
      <c r="D148">
        <f t="shared" si="2"/>
        <v>12.348201599999998</v>
      </c>
    </row>
    <row r="149" spans="1:5" ht="15" thickBot="1" x14ac:dyDescent="0.4">
      <c r="A149" s="3">
        <v>44685.717569444445</v>
      </c>
      <c r="B149" s="4">
        <v>65</v>
      </c>
      <c r="C149" s="4">
        <v>7.09</v>
      </c>
      <c r="D149">
        <f t="shared" si="2"/>
        <v>11.803427999999998</v>
      </c>
    </row>
    <row r="150" spans="1:5" ht="15" thickBot="1" x14ac:dyDescent="0.4">
      <c r="A150" s="3">
        <v>44685.721099537041</v>
      </c>
      <c r="B150" s="4">
        <v>65</v>
      </c>
      <c r="C150" s="4">
        <v>7.09</v>
      </c>
      <c r="D150">
        <f t="shared" si="2"/>
        <v>11.803427999999998</v>
      </c>
    </row>
    <row r="151" spans="1:5" ht="15" thickBot="1" x14ac:dyDescent="0.4">
      <c r="A151" s="3">
        <v>44685.724629629629</v>
      </c>
      <c r="B151" s="4">
        <v>64</v>
      </c>
      <c r="C151" s="4">
        <v>7.25</v>
      </c>
      <c r="D151">
        <f t="shared" si="2"/>
        <v>11.621836799999999</v>
      </c>
    </row>
    <row r="152" spans="1:5" ht="15" thickBot="1" x14ac:dyDescent="0.4">
      <c r="A152" s="3">
        <v>44685.728159722225</v>
      </c>
      <c r="B152" s="4">
        <v>64</v>
      </c>
      <c r="C152" s="4">
        <v>7.14</v>
      </c>
      <c r="D152">
        <f t="shared" si="2"/>
        <v>11.621836799999999</v>
      </c>
    </row>
    <row r="153" spans="1:5" ht="15" thickBot="1" x14ac:dyDescent="0.4">
      <c r="A153" s="3">
        <v>44685.731689814813</v>
      </c>
      <c r="B153" s="4">
        <v>63</v>
      </c>
      <c r="C153" s="4">
        <v>6.95</v>
      </c>
      <c r="D153">
        <f t="shared" si="2"/>
        <v>11.440245600000001</v>
      </c>
    </row>
    <row r="154" spans="1:5" ht="15" thickBot="1" x14ac:dyDescent="0.4">
      <c r="A154" s="3">
        <v>44685.735219907408</v>
      </c>
      <c r="B154" s="4">
        <v>64</v>
      </c>
      <c r="C154" s="4">
        <v>6.99</v>
      </c>
      <c r="D154">
        <f t="shared" si="2"/>
        <v>11.621836799999999</v>
      </c>
    </row>
    <row r="155" spans="1:5" ht="15" thickBot="1" x14ac:dyDescent="0.4">
      <c r="A155" s="3">
        <v>44685.738749999997</v>
      </c>
      <c r="B155" s="4">
        <v>64</v>
      </c>
      <c r="C155" s="4">
        <v>7.05</v>
      </c>
      <c r="D155">
        <f t="shared" si="2"/>
        <v>11.621836799999999</v>
      </c>
    </row>
    <row r="156" spans="1:5" ht="15" thickBot="1" x14ac:dyDescent="0.4">
      <c r="A156" s="3">
        <v>44685.742280092592</v>
      </c>
      <c r="B156" s="4">
        <v>67</v>
      </c>
      <c r="C156" s="4">
        <v>7.36</v>
      </c>
      <c r="D156">
        <f t="shared" si="2"/>
        <v>12.1666104</v>
      </c>
    </row>
    <row r="157" spans="1:5" ht="15" thickBot="1" x14ac:dyDescent="0.4">
      <c r="A157" s="3">
        <v>44685.745810185188</v>
      </c>
      <c r="B157" s="4">
        <v>66</v>
      </c>
      <c r="C157" s="4">
        <v>7.49</v>
      </c>
      <c r="D157">
        <f t="shared" si="2"/>
        <v>11.9850192</v>
      </c>
    </row>
    <row r="158" spans="1:5" ht="15" thickBot="1" x14ac:dyDescent="0.4">
      <c r="A158" s="3">
        <v>44685.749340277776</v>
      </c>
      <c r="B158" s="4">
        <v>67</v>
      </c>
      <c r="C158" s="4">
        <v>7.68</v>
      </c>
      <c r="D158">
        <f t="shared" si="2"/>
        <v>12.1666104</v>
      </c>
    </row>
    <row r="159" spans="1:5" ht="15" thickBot="1" x14ac:dyDescent="0.4">
      <c r="A159" s="3">
        <v>44685.752870370372</v>
      </c>
      <c r="B159" s="4">
        <v>66</v>
      </c>
      <c r="C159" s="4">
        <v>7.47</v>
      </c>
      <c r="D159">
        <f t="shared" si="2"/>
        <v>11.9850192</v>
      </c>
      <c r="E159">
        <f>AVERAGE(D159:D170)</f>
        <v>7.9239796363636366</v>
      </c>
    </row>
    <row r="160" spans="1:5" ht="15" thickBot="1" x14ac:dyDescent="0.4">
      <c r="A160" s="3">
        <v>44685.756412037037</v>
      </c>
      <c r="B160" s="4">
        <v>61</v>
      </c>
      <c r="C160" s="4">
        <v>7.16</v>
      </c>
      <c r="D160">
        <f t="shared" si="2"/>
        <v>11.077063200000001</v>
      </c>
    </row>
    <row r="161" spans="1:4" ht="15" thickBot="1" x14ac:dyDescent="0.4">
      <c r="A161" s="3">
        <v>44685.759942129633</v>
      </c>
      <c r="B161" s="4">
        <v>59</v>
      </c>
      <c r="C161" s="4">
        <v>6.62</v>
      </c>
      <c r="D161">
        <f t="shared" si="2"/>
        <v>10.713880799999998</v>
      </c>
    </row>
    <row r="162" spans="1:4" ht="15" thickBot="1" x14ac:dyDescent="0.4">
      <c r="A162" s="3">
        <v>44685.763472222221</v>
      </c>
      <c r="B162" s="4">
        <v>55</v>
      </c>
      <c r="C162" s="4">
        <v>6.2</v>
      </c>
      <c r="D162">
        <f t="shared" si="2"/>
        <v>9.9875159999999994</v>
      </c>
    </row>
    <row r="163" spans="1:4" ht="15" thickBot="1" x14ac:dyDescent="0.4">
      <c r="A163" s="3">
        <v>44685.767002314817</v>
      </c>
      <c r="B163" s="4">
        <v>53</v>
      </c>
      <c r="C163" s="4">
        <v>5.65</v>
      </c>
      <c r="D163">
        <f t="shared" si="2"/>
        <v>9.6243335999999999</v>
      </c>
    </row>
    <row r="164" spans="1:4" ht="15" thickBot="1" x14ac:dyDescent="0.4">
      <c r="A164" s="3">
        <v>44685.770532407405</v>
      </c>
      <c r="B164" s="4">
        <v>45</v>
      </c>
      <c r="C164" s="4">
        <v>4.82</v>
      </c>
      <c r="D164">
        <f t="shared" si="2"/>
        <v>8.1716039999999985</v>
      </c>
    </row>
    <row r="165" spans="1:4" ht="15" thickBot="1" x14ac:dyDescent="0.4">
      <c r="A165" s="3">
        <v>44685.774062500001</v>
      </c>
      <c r="B165" s="4">
        <v>37</v>
      </c>
      <c r="C165" s="4">
        <v>3.9</v>
      </c>
      <c r="D165">
        <f t="shared" si="2"/>
        <v>6.7188743999999998</v>
      </c>
    </row>
    <row r="166" spans="1:4" ht="15" thickBot="1" x14ac:dyDescent="0.4">
      <c r="A166" s="3">
        <v>44685.777592592596</v>
      </c>
      <c r="B166" s="4">
        <v>30</v>
      </c>
      <c r="C166" s="4">
        <v>3.18</v>
      </c>
      <c r="D166">
        <f t="shared" si="2"/>
        <v>5.4477359999999999</v>
      </c>
    </row>
    <row r="167" spans="1:4" ht="15" thickBot="1" x14ac:dyDescent="0.4">
      <c r="A167" s="3">
        <v>44685.781122685185</v>
      </c>
      <c r="B167" s="4">
        <v>29</v>
      </c>
      <c r="C167" s="4">
        <v>2.84</v>
      </c>
      <c r="D167">
        <f t="shared" si="2"/>
        <v>5.2661448000000002</v>
      </c>
    </row>
    <row r="168" spans="1:4" ht="15" thickBot="1" x14ac:dyDescent="0.4">
      <c r="A168" s="3">
        <v>44685.78465277778</v>
      </c>
      <c r="B168" s="4">
        <v>25</v>
      </c>
      <c r="C168" s="4">
        <v>2.3199999999999998</v>
      </c>
      <c r="D168">
        <f t="shared" si="2"/>
        <v>4.5397799999999995</v>
      </c>
    </row>
    <row r="169" spans="1:4" ht="15" thickBot="1" x14ac:dyDescent="0.4">
      <c r="A169" s="3">
        <v>44685.788182870368</v>
      </c>
      <c r="B169" s="4">
        <v>20</v>
      </c>
      <c r="C169" s="4">
        <v>1.71</v>
      </c>
      <c r="D169">
        <f t="shared" si="2"/>
        <v>3.6318239999999999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2022-11-01T08:28:55Z</dcterms:created>
  <dcterms:modified xsi:type="dcterms:W3CDTF">2023-02-05T11:00:09Z</dcterms:modified>
</cp:coreProperties>
</file>