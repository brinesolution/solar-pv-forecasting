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10. Jun 2022\"/>
    </mc:Choice>
  </mc:AlternateContent>
  <xr:revisionPtr revIDLastSave="0" documentId="13_ncr:1_{7779CCE6-F1DB-4403-AE14-2D7EDE8746C7}" xr6:coauthVersionLast="47" xr6:coauthVersionMax="47" xr10:uidLastSave="{00000000-0000-0000-0000-000000000000}"/>
  <bookViews>
    <workbookView showHorizontalScroll="0" showVerticalScroll="0" showSheetTabs="0" xWindow="-110" yWindow="-110" windowWidth="19420" windowHeight="10420" xr2:uid="{00000000-000D-0000-FFFF-FFFF00000000}"/>
  </bookViews>
  <sheets>
    <sheet name="Power_vs_Irradiance_rpt_11Jun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<sst xmlns="http://schemas.openxmlformats.org/spreadsheetml/2006/main" count="4" uniqueCount="4">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</sst>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D50FFCAD-2E75-2729-1333-0CEDD40FD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9"/>
  <sheetViews>
    <sheetView showGridLines="0" tabSelected="1" topLeftCell="A3" workbookViewId="0">
      <selection activeCell="H6" sqref="H6:J13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44723.209236111114</v>
      </c>
      <c r="B5" s="4">
        <v>2</v>
      </c>
      <c r="C5" s="4">
        <v>0</v>
      </c>
      <c r="D5">
        <f>B5*1513.26*0.12/1000</f>
        <v>0.36318239999999996</v>
      </c>
      <c r="E5">
        <f>AVERAGE(D5:D16)</f>
        <v>0.4085802</v>
      </c>
    </row>
    <row r="6" spans="1:5" ht="15" thickBot="1" x14ac:dyDescent="0.4">
      <c r="A6" s="3">
        <v>44723.212777777779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44723.216296296298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44723.219826388886</v>
      </c>
      <c r="B8" s="4">
        <v>3</v>
      </c>
      <c r="C8" s="4">
        <v>0</v>
      </c>
      <c r="D8">
        <f t="shared" si="0"/>
        <v>0.54477359999999997</v>
      </c>
    </row>
    <row r="9" spans="1:5" ht="15" thickBot="1" x14ac:dyDescent="0.4">
      <c r="A9" s="3">
        <v>44723.223356481481</v>
      </c>
      <c r="B9" s="4">
        <v>3</v>
      </c>
      <c r="C9" s="4">
        <v>0</v>
      </c>
      <c r="D9">
        <f t="shared" si="0"/>
        <v>0.54477359999999997</v>
      </c>
    </row>
    <row r="10" spans="1:5" ht="15" thickBot="1" x14ac:dyDescent="0.4">
      <c r="A10" s="3">
        <v>44723.226886574077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44723.230416666665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44723.233946759261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44723.237476851849</v>
      </c>
      <c r="B13" s="4">
        <v>2</v>
      </c>
      <c r="C13" s="4">
        <v>0</v>
      </c>
      <c r="D13">
        <f t="shared" si="0"/>
        <v>0.36318239999999996</v>
      </c>
    </row>
    <row r="14" spans="1:5" ht="15" thickBot="1" x14ac:dyDescent="0.4">
      <c r="A14" s="3">
        <v>44723.241006944445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44723.244537037041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44723.248067129629</v>
      </c>
      <c r="B16" s="4">
        <v>3</v>
      </c>
      <c r="C16" s="4">
        <v>0</v>
      </c>
      <c r="D16">
        <f t="shared" si="0"/>
        <v>0.54477359999999997</v>
      </c>
    </row>
    <row r="17" spans="1:5" ht="15" thickBot="1" x14ac:dyDescent="0.4">
      <c r="A17" s="3">
        <v>44723.251597222225</v>
      </c>
      <c r="B17" s="4">
        <v>2</v>
      </c>
      <c r="C17" s="4">
        <v>0</v>
      </c>
      <c r="D17">
        <f t="shared" si="0"/>
        <v>0.36318239999999996</v>
      </c>
      <c r="E17">
        <f>AVERAGE(D17:D28)</f>
        <v>0.54477359999999997</v>
      </c>
    </row>
    <row r="18" spans="1:5" ht="15" thickBot="1" x14ac:dyDescent="0.4">
      <c r="A18" s="3">
        <v>44723.255127314813</v>
      </c>
      <c r="B18" s="4">
        <v>3</v>
      </c>
      <c r="C18" s="4">
        <v>0</v>
      </c>
      <c r="D18">
        <f t="shared" si="0"/>
        <v>0.54477359999999997</v>
      </c>
    </row>
    <row r="19" spans="1:5" ht="15" thickBot="1" x14ac:dyDescent="0.4">
      <c r="A19" s="3">
        <v>44723.258657407408</v>
      </c>
      <c r="B19" s="4">
        <v>3</v>
      </c>
      <c r="C19" s="4">
        <v>0</v>
      </c>
      <c r="D19">
        <f t="shared" si="0"/>
        <v>0.54477359999999997</v>
      </c>
    </row>
    <row r="20" spans="1:5" ht="15" thickBot="1" x14ac:dyDescent="0.4">
      <c r="A20" s="3">
        <v>44723.262187499997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44723.265717592592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44723.269247685188</v>
      </c>
      <c r="B22" s="4">
        <v>1</v>
      </c>
      <c r="C22" s="4">
        <v>0</v>
      </c>
      <c r="D22">
        <f t="shared" si="0"/>
        <v>0.18159119999999998</v>
      </c>
    </row>
    <row r="23" spans="1:5" ht="15" thickBot="1" x14ac:dyDescent="0.4">
      <c r="A23" s="3">
        <v>44723.272777777776</v>
      </c>
      <c r="B23" s="4">
        <v>2</v>
      </c>
      <c r="C23" s="4">
        <v>0</v>
      </c>
      <c r="D23">
        <f t="shared" si="0"/>
        <v>0.36318239999999996</v>
      </c>
    </row>
    <row r="24" spans="1:5" ht="15" thickBot="1" x14ac:dyDescent="0.4">
      <c r="A24" s="3">
        <v>44723.276307870372</v>
      </c>
      <c r="B24" s="4">
        <v>4</v>
      </c>
      <c r="C24" s="4">
        <v>0</v>
      </c>
      <c r="D24">
        <f t="shared" si="0"/>
        <v>0.72636479999999992</v>
      </c>
    </row>
    <row r="25" spans="1:5" ht="15" thickBot="1" x14ac:dyDescent="0.4">
      <c r="A25" s="3">
        <v>44723.27983796296</v>
      </c>
      <c r="B25" s="4">
        <v>2</v>
      </c>
      <c r="C25" s="4">
        <v>0</v>
      </c>
      <c r="D25">
        <f t="shared" si="0"/>
        <v>0.36318239999999996</v>
      </c>
    </row>
    <row r="26" spans="1:5" ht="15" thickBot="1" x14ac:dyDescent="0.4">
      <c r="A26" s="3">
        <v>44723.283368055556</v>
      </c>
      <c r="B26" s="4">
        <v>3</v>
      </c>
      <c r="C26" s="4">
        <v>0</v>
      </c>
      <c r="D26">
        <f t="shared" si="0"/>
        <v>0.54477359999999997</v>
      </c>
    </row>
    <row r="27" spans="1:5" ht="15" thickBot="1" x14ac:dyDescent="0.4">
      <c r="A27" s="3">
        <v>44723.286898148152</v>
      </c>
      <c r="B27" s="4">
        <v>4</v>
      </c>
      <c r="C27" s="4">
        <v>0</v>
      </c>
      <c r="D27">
        <f t="shared" si="0"/>
        <v>0.72636479999999992</v>
      </c>
    </row>
    <row r="28" spans="1:5" ht="15" thickBot="1" x14ac:dyDescent="0.4">
      <c r="A28" s="3">
        <v>44723.29042824074</v>
      </c>
      <c r="B28" s="4">
        <v>8</v>
      </c>
      <c r="C28" s="4">
        <v>0.37</v>
      </c>
      <c r="D28">
        <f t="shared" si="0"/>
        <v>1.4527295999999998</v>
      </c>
    </row>
    <row r="29" spans="1:5" ht="15" thickBot="1" x14ac:dyDescent="0.4">
      <c r="A29" s="3">
        <v>44723.293958333335</v>
      </c>
      <c r="B29" s="4">
        <v>12</v>
      </c>
      <c r="C29" s="4">
        <v>1.05</v>
      </c>
      <c r="D29">
        <f t="shared" si="0"/>
        <v>2.1790943999999999</v>
      </c>
      <c r="E29">
        <f>AVERAGE(D29:D40)</f>
        <v>7.9143497999999992</v>
      </c>
    </row>
    <row r="30" spans="1:5" ht="15" thickBot="1" x14ac:dyDescent="0.4">
      <c r="A30" s="3">
        <v>44723.297488425924</v>
      </c>
      <c r="B30" s="4">
        <v>18</v>
      </c>
      <c r="C30" s="4">
        <v>1.48</v>
      </c>
      <c r="D30">
        <f t="shared" si="0"/>
        <v>3.2686416</v>
      </c>
    </row>
    <row r="31" spans="1:5" ht="15" thickBot="1" x14ac:dyDescent="0.4">
      <c r="A31" s="3">
        <v>44723.301018518519</v>
      </c>
      <c r="B31" s="4">
        <v>24</v>
      </c>
      <c r="C31" s="4">
        <v>2.17</v>
      </c>
      <c r="D31">
        <f t="shared" si="0"/>
        <v>4.3581887999999998</v>
      </c>
    </row>
    <row r="32" spans="1:5" ht="15" thickBot="1" x14ac:dyDescent="0.4">
      <c r="A32" s="3">
        <v>44723.304548611108</v>
      </c>
      <c r="B32" s="4">
        <v>27</v>
      </c>
      <c r="C32" s="4">
        <v>2.97</v>
      </c>
      <c r="D32">
        <f t="shared" si="0"/>
        <v>4.9029623999999998</v>
      </c>
    </row>
    <row r="33" spans="1:5" ht="15" thickBot="1" x14ac:dyDescent="0.4">
      <c r="A33" s="3">
        <v>44723.30809027778</v>
      </c>
      <c r="B33" s="4">
        <v>33</v>
      </c>
      <c r="C33" s="4">
        <v>3.59</v>
      </c>
      <c r="D33">
        <f t="shared" si="0"/>
        <v>5.9925096</v>
      </c>
    </row>
    <row r="34" spans="1:5" ht="15" thickBot="1" x14ac:dyDescent="0.4">
      <c r="A34" s="3">
        <v>44723.311620370368</v>
      </c>
      <c r="B34" s="4">
        <v>38</v>
      </c>
      <c r="C34" s="4">
        <v>4.28</v>
      </c>
      <c r="D34">
        <f t="shared" si="0"/>
        <v>6.9004655999999995</v>
      </c>
    </row>
    <row r="35" spans="1:5" ht="15" thickBot="1" x14ac:dyDescent="0.4">
      <c r="A35" s="3">
        <v>44723.315150462964</v>
      </c>
      <c r="B35" s="4">
        <v>43</v>
      </c>
      <c r="C35" s="4">
        <v>4.7699999999999996</v>
      </c>
      <c r="D35">
        <f t="shared" si="0"/>
        <v>7.8084216</v>
      </c>
    </row>
    <row r="36" spans="1:5" ht="15" thickBot="1" x14ac:dyDescent="0.4">
      <c r="A36" s="3">
        <v>44723.318680555552</v>
      </c>
      <c r="B36" s="4">
        <v>51</v>
      </c>
      <c r="C36" s="4">
        <v>5.61</v>
      </c>
      <c r="D36">
        <f t="shared" si="0"/>
        <v>9.2611511999999987</v>
      </c>
    </row>
    <row r="37" spans="1:5" ht="15" thickBot="1" x14ac:dyDescent="0.4">
      <c r="A37" s="3">
        <v>44723.322210648148</v>
      </c>
      <c r="B37" s="4">
        <v>58</v>
      </c>
      <c r="C37" s="4">
        <v>6.59</v>
      </c>
      <c r="D37">
        <f t="shared" si="0"/>
        <v>10.5322896</v>
      </c>
    </row>
    <row r="38" spans="1:5" ht="15" thickBot="1" x14ac:dyDescent="0.4">
      <c r="A38" s="3">
        <v>44723.325740740744</v>
      </c>
      <c r="B38" s="4">
        <v>65</v>
      </c>
      <c r="C38" s="4">
        <v>7.68</v>
      </c>
      <c r="D38">
        <f t="shared" si="0"/>
        <v>11.803427999999998</v>
      </c>
    </row>
    <row r="39" spans="1:5" ht="15" thickBot="1" x14ac:dyDescent="0.4">
      <c r="A39" s="3">
        <v>44723.329270833332</v>
      </c>
      <c r="B39" s="4">
        <v>74</v>
      </c>
      <c r="C39" s="4">
        <v>8.74</v>
      </c>
      <c r="D39">
        <f t="shared" si="0"/>
        <v>13.4377488</v>
      </c>
    </row>
    <row r="40" spans="1:5" ht="15" thickBot="1" x14ac:dyDescent="0.4">
      <c r="A40" s="3">
        <v>44723.332800925928</v>
      </c>
      <c r="B40" s="4">
        <v>80</v>
      </c>
      <c r="C40" s="4">
        <v>9.7200000000000006</v>
      </c>
      <c r="D40">
        <f t="shared" si="0"/>
        <v>14.527296</v>
      </c>
    </row>
    <row r="41" spans="1:5" ht="15" thickBot="1" x14ac:dyDescent="0.4">
      <c r="A41" s="3">
        <v>44723.336331018516</v>
      </c>
      <c r="B41" s="4">
        <v>91</v>
      </c>
      <c r="C41" s="4">
        <v>10.96</v>
      </c>
      <c r="D41">
        <f t="shared" si="0"/>
        <v>16.5247992</v>
      </c>
      <c r="E41">
        <f>AVERAGE(D41:D52)</f>
        <v>27.4354038</v>
      </c>
    </row>
    <row r="42" spans="1:5" ht="15" thickBot="1" x14ac:dyDescent="0.4">
      <c r="A42" s="3">
        <v>44723.339861111112</v>
      </c>
      <c r="B42" s="4">
        <v>100</v>
      </c>
      <c r="C42" s="4">
        <v>12.13</v>
      </c>
      <c r="D42">
        <f t="shared" si="0"/>
        <v>18.159119999999998</v>
      </c>
    </row>
    <row r="43" spans="1:5" ht="15" thickBot="1" x14ac:dyDescent="0.4">
      <c r="A43" s="3">
        <v>44723.343391203707</v>
      </c>
      <c r="B43" s="4">
        <v>109</v>
      </c>
      <c r="C43" s="4">
        <v>13.63</v>
      </c>
      <c r="D43">
        <f t="shared" si="0"/>
        <v>19.793440799999999</v>
      </c>
    </row>
    <row r="44" spans="1:5" ht="15" thickBot="1" x14ac:dyDescent="0.4">
      <c r="A44" s="3">
        <v>44723.346921296295</v>
      </c>
      <c r="B44" s="4">
        <v>119</v>
      </c>
      <c r="C44" s="4">
        <v>14.8</v>
      </c>
      <c r="D44">
        <f t="shared" si="0"/>
        <v>21.6093528</v>
      </c>
    </row>
    <row r="45" spans="1:5" ht="15" thickBot="1" x14ac:dyDescent="0.4">
      <c r="A45" s="3">
        <v>44723.350439814814</v>
      </c>
      <c r="B45" s="4">
        <v>130</v>
      </c>
      <c r="C45" s="4">
        <v>16.27</v>
      </c>
      <c r="D45">
        <f t="shared" si="0"/>
        <v>23.606855999999997</v>
      </c>
    </row>
    <row r="46" spans="1:5" ht="15" thickBot="1" x14ac:dyDescent="0.4">
      <c r="A46" s="3">
        <v>44723.353981481479</v>
      </c>
      <c r="B46" s="4">
        <v>140</v>
      </c>
      <c r="C46" s="4">
        <v>17.68</v>
      </c>
      <c r="D46">
        <f t="shared" si="0"/>
        <v>25.422768000000001</v>
      </c>
    </row>
    <row r="47" spans="1:5" ht="15" thickBot="1" x14ac:dyDescent="0.4">
      <c r="A47" s="3">
        <v>44723.357499999998</v>
      </c>
      <c r="B47" s="4">
        <v>154</v>
      </c>
      <c r="C47" s="4">
        <v>19.329999999999998</v>
      </c>
      <c r="D47">
        <f t="shared" si="0"/>
        <v>27.965044800000001</v>
      </c>
    </row>
    <row r="48" spans="1:5" ht="15" thickBot="1" x14ac:dyDescent="0.4">
      <c r="A48" s="3">
        <v>44723.361041666663</v>
      </c>
      <c r="B48" s="4">
        <v>165</v>
      </c>
      <c r="C48" s="4">
        <v>21.15</v>
      </c>
      <c r="D48">
        <f t="shared" si="0"/>
        <v>29.962547999999998</v>
      </c>
    </row>
    <row r="49" spans="1:5" ht="15" thickBot="1" x14ac:dyDescent="0.4">
      <c r="A49" s="3">
        <v>44723.364560185182</v>
      </c>
      <c r="B49" s="4">
        <v>179</v>
      </c>
      <c r="C49" s="4">
        <v>22.85</v>
      </c>
      <c r="D49">
        <f t="shared" si="0"/>
        <v>32.504824799999994</v>
      </c>
    </row>
    <row r="50" spans="1:5" ht="15" thickBot="1" x14ac:dyDescent="0.4">
      <c r="A50" s="3">
        <v>44723.368090277778</v>
      </c>
      <c r="B50" s="4">
        <v>199</v>
      </c>
      <c r="C50" s="4">
        <v>25.92</v>
      </c>
      <c r="D50">
        <f t="shared" si="0"/>
        <v>36.136648799999996</v>
      </c>
    </row>
    <row r="51" spans="1:5" ht="15" thickBot="1" x14ac:dyDescent="0.4">
      <c r="A51" s="3">
        <v>44723.371620370373</v>
      </c>
      <c r="B51" s="4">
        <v>210</v>
      </c>
      <c r="C51" s="4">
        <v>27.38</v>
      </c>
      <c r="D51">
        <f t="shared" si="0"/>
        <v>38.134151999999993</v>
      </c>
    </row>
    <row r="52" spans="1:5" ht="15" thickBot="1" x14ac:dyDescent="0.4">
      <c r="A52" s="3">
        <v>44723.375150462962</v>
      </c>
      <c r="B52" s="4">
        <v>217</v>
      </c>
      <c r="C52" s="4">
        <v>28.1</v>
      </c>
      <c r="D52">
        <f t="shared" si="0"/>
        <v>39.405290399999998</v>
      </c>
    </row>
    <row r="53" spans="1:5" ht="15" thickBot="1" x14ac:dyDescent="0.4">
      <c r="A53" s="3">
        <v>44723.378680555557</v>
      </c>
      <c r="B53" s="4">
        <v>210</v>
      </c>
      <c r="C53" s="4">
        <v>27.1</v>
      </c>
      <c r="D53">
        <f t="shared" si="0"/>
        <v>38.134151999999993</v>
      </c>
      <c r="E53">
        <f>AVERAGE(D53:D64)</f>
        <v>45.095147999999995</v>
      </c>
    </row>
    <row r="54" spans="1:5" ht="15" thickBot="1" x14ac:dyDescent="0.4">
      <c r="A54" s="3">
        <v>44723.382210648146</v>
      </c>
      <c r="B54" s="4">
        <v>209</v>
      </c>
      <c r="C54" s="4">
        <v>26.82</v>
      </c>
      <c r="D54">
        <f t="shared" si="0"/>
        <v>37.952560800000001</v>
      </c>
    </row>
    <row r="55" spans="1:5" ht="15" thickBot="1" x14ac:dyDescent="0.4">
      <c r="A55" s="3">
        <v>44723.385740740741</v>
      </c>
      <c r="B55" s="4">
        <v>212</v>
      </c>
      <c r="C55" s="4">
        <v>27.4</v>
      </c>
      <c r="D55">
        <f t="shared" si="0"/>
        <v>38.4973344</v>
      </c>
    </row>
    <row r="56" spans="1:5" ht="15" thickBot="1" x14ac:dyDescent="0.4">
      <c r="A56" s="3">
        <v>44723.389270833337</v>
      </c>
      <c r="B56" s="4">
        <v>222</v>
      </c>
      <c r="C56" s="4">
        <v>28.63</v>
      </c>
      <c r="D56">
        <f t="shared" si="0"/>
        <v>40.313246399999997</v>
      </c>
    </row>
    <row r="57" spans="1:5" ht="15" thickBot="1" x14ac:dyDescent="0.4">
      <c r="A57" s="3">
        <v>44723.392800925925</v>
      </c>
      <c r="B57" s="4">
        <v>235</v>
      </c>
      <c r="C57" s="4">
        <v>30.31</v>
      </c>
      <c r="D57">
        <f t="shared" si="0"/>
        <v>42.673931999999994</v>
      </c>
    </row>
    <row r="58" spans="1:5" ht="15" thickBot="1" x14ac:dyDescent="0.4">
      <c r="A58" s="3">
        <v>44723.396354166667</v>
      </c>
      <c r="B58" s="4">
        <v>246</v>
      </c>
      <c r="C58" s="4">
        <v>31.6</v>
      </c>
      <c r="D58">
        <f t="shared" si="0"/>
        <v>44.671435199999998</v>
      </c>
    </row>
    <row r="59" spans="1:5" ht="15" thickBot="1" x14ac:dyDescent="0.4">
      <c r="A59" s="3">
        <v>44723.399884259263</v>
      </c>
      <c r="B59" s="4">
        <v>266</v>
      </c>
      <c r="C59" s="4">
        <v>34.46</v>
      </c>
      <c r="D59">
        <f t="shared" si="0"/>
        <v>48.303259199999992</v>
      </c>
    </row>
    <row r="60" spans="1:5" ht="15" thickBot="1" x14ac:dyDescent="0.4">
      <c r="A60" s="3">
        <v>44723.403414351851</v>
      </c>
      <c r="B60" s="4">
        <v>268</v>
      </c>
      <c r="C60" s="4">
        <v>34.18</v>
      </c>
      <c r="D60">
        <f t="shared" si="0"/>
        <v>48.666441599999999</v>
      </c>
    </row>
    <row r="61" spans="1:5" ht="15" thickBot="1" x14ac:dyDescent="0.4">
      <c r="A61" s="3">
        <v>44723.406944444447</v>
      </c>
      <c r="B61" s="4">
        <v>269</v>
      </c>
      <c r="C61" s="4">
        <v>34.450000000000003</v>
      </c>
      <c r="D61">
        <f t="shared" si="0"/>
        <v>48.848032799999999</v>
      </c>
    </row>
    <row r="62" spans="1:5" ht="15" thickBot="1" x14ac:dyDescent="0.4">
      <c r="A62" s="3">
        <v>44723.410474537035</v>
      </c>
      <c r="B62" s="4">
        <v>294</v>
      </c>
      <c r="C62" s="4">
        <v>38.06</v>
      </c>
      <c r="D62">
        <f t="shared" si="0"/>
        <v>53.387812799999999</v>
      </c>
    </row>
    <row r="63" spans="1:5" ht="15" thickBot="1" x14ac:dyDescent="0.4">
      <c r="A63" s="3">
        <v>44723.414004629631</v>
      </c>
      <c r="B63" s="4">
        <v>278</v>
      </c>
      <c r="C63" s="4">
        <v>35.880000000000003</v>
      </c>
      <c r="D63">
        <f t="shared" si="0"/>
        <v>50.482353599999996</v>
      </c>
    </row>
    <row r="64" spans="1:5" ht="15" thickBot="1" x14ac:dyDescent="0.4">
      <c r="A64" s="3">
        <v>44723.417534722219</v>
      </c>
      <c r="B64" s="4">
        <v>271</v>
      </c>
      <c r="C64" s="4">
        <v>35.29</v>
      </c>
      <c r="D64">
        <f t="shared" si="0"/>
        <v>49.211215199999998</v>
      </c>
      <c r="E64">
        <f>AVERAGE(D64:D75)</f>
        <v>58.063786200000003</v>
      </c>
    </row>
    <row r="65" spans="1:5" ht="15" thickBot="1" x14ac:dyDescent="0.4">
      <c r="A65" s="3">
        <v>44723.421064814815</v>
      </c>
      <c r="B65" s="4">
        <v>270</v>
      </c>
      <c r="C65" s="4">
        <v>34.86</v>
      </c>
      <c r="D65">
        <f t="shared" si="0"/>
        <v>49.029623999999998</v>
      </c>
    </row>
    <row r="66" spans="1:5" ht="15" thickBot="1" x14ac:dyDescent="0.4">
      <c r="A66" s="3">
        <v>44723.42459490741</v>
      </c>
      <c r="B66" s="4">
        <v>272</v>
      </c>
      <c r="C66" s="4">
        <v>35.03</v>
      </c>
      <c r="D66">
        <f t="shared" si="0"/>
        <v>49.392806399999991</v>
      </c>
    </row>
    <row r="67" spans="1:5" ht="15" thickBot="1" x14ac:dyDescent="0.4">
      <c r="A67" s="3">
        <v>44723.428124999999</v>
      </c>
      <c r="B67" s="4">
        <v>290</v>
      </c>
      <c r="C67" s="4">
        <v>37.44</v>
      </c>
      <c r="D67">
        <f t="shared" si="0"/>
        <v>52.661448000000007</v>
      </c>
    </row>
    <row r="68" spans="1:5" ht="15" thickBot="1" x14ac:dyDescent="0.4">
      <c r="A68" s="3">
        <v>44723.431655092594</v>
      </c>
      <c r="B68" s="4">
        <v>298</v>
      </c>
      <c r="C68" s="4">
        <v>38.25</v>
      </c>
      <c r="D68">
        <f t="shared" si="0"/>
        <v>54.114177599999998</v>
      </c>
    </row>
    <row r="69" spans="1:5" ht="15" thickBot="1" x14ac:dyDescent="0.4">
      <c r="A69" s="3">
        <v>44723.435185185182</v>
      </c>
      <c r="B69" s="4">
        <v>304</v>
      </c>
      <c r="C69" s="4">
        <v>39.14</v>
      </c>
      <c r="D69">
        <f t="shared" si="0"/>
        <v>55.203724799999996</v>
      </c>
    </row>
    <row r="70" spans="1:5" ht="15" thickBot="1" x14ac:dyDescent="0.4">
      <c r="A70" s="3">
        <v>44723.438715277778</v>
      </c>
      <c r="B70" s="4">
        <v>316</v>
      </c>
      <c r="C70" s="4">
        <v>40.85</v>
      </c>
      <c r="D70">
        <f t="shared" ref="D70:D133" si="1">B70*1513.26*0.12/1000</f>
        <v>57.3828192</v>
      </c>
    </row>
    <row r="71" spans="1:5" ht="15" thickBot="1" x14ac:dyDescent="0.4">
      <c r="A71" s="3">
        <v>44723.442245370374</v>
      </c>
      <c r="B71" s="4">
        <v>332</v>
      </c>
      <c r="C71" s="4">
        <v>42.44</v>
      </c>
      <c r="D71">
        <f t="shared" si="1"/>
        <v>60.288278399999996</v>
      </c>
    </row>
    <row r="72" spans="1:5" ht="15" thickBot="1" x14ac:dyDescent="0.4">
      <c r="A72" s="3">
        <v>44723.445775462962</v>
      </c>
      <c r="B72" s="4">
        <v>344</v>
      </c>
      <c r="C72" s="4">
        <v>44.37</v>
      </c>
      <c r="D72">
        <f t="shared" si="1"/>
        <v>62.4673728</v>
      </c>
    </row>
    <row r="73" spans="1:5" ht="15" thickBot="1" x14ac:dyDescent="0.4">
      <c r="A73" s="3">
        <v>44723.449305555558</v>
      </c>
      <c r="B73" s="4">
        <v>359</v>
      </c>
      <c r="C73" s="4">
        <v>46.67</v>
      </c>
      <c r="D73">
        <f t="shared" si="1"/>
        <v>65.191240799999989</v>
      </c>
    </row>
    <row r="74" spans="1:5" ht="15" thickBot="1" x14ac:dyDescent="0.4">
      <c r="A74" s="3">
        <v>44723.452835648146</v>
      </c>
      <c r="B74" s="4">
        <v>374</v>
      </c>
      <c r="C74" s="4">
        <v>48.15</v>
      </c>
      <c r="D74">
        <f t="shared" si="1"/>
        <v>67.915108799999999</v>
      </c>
    </row>
    <row r="75" spans="1:5" ht="15" thickBot="1" x14ac:dyDescent="0.4">
      <c r="A75" s="3">
        <v>44723.456365740742</v>
      </c>
      <c r="B75" s="4">
        <v>407</v>
      </c>
      <c r="C75" s="4">
        <v>52.66</v>
      </c>
      <c r="D75">
        <f t="shared" si="1"/>
        <v>73.90761839999999</v>
      </c>
    </row>
    <row r="76" spans="1:5" ht="15" thickBot="1" x14ac:dyDescent="0.4">
      <c r="A76" s="3">
        <v>44723.45989583333</v>
      </c>
      <c r="B76" s="4">
        <v>428</v>
      </c>
      <c r="C76" s="4">
        <v>55.21</v>
      </c>
      <c r="D76">
        <f t="shared" si="1"/>
        <v>77.721033599999998</v>
      </c>
      <c r="E76">
        <f>AVERAGE(D76:D87)</f>
        <v>80.263310400000009</v>
      </c>
    </row>
    <row r="77" spans="1:5" ht="15" thickBot="1" x14ac:dyDescent="0.4">
      <c r="A77" s="3">
        <v>44723.463425925926</v>
      </c>
      <c r="B77" s="4">
        <v>460</v>
      </c>
      <c r="C77" s="4">
        <v>59.05</v>
      </c>
      <c r="D77">
        <f t="shared" si="1"/>
        <v>83.53195199999999</v>
      </c>
    </row>
    <row r="78" spans="1:5" ht="15" thickBot="1" x14ac:dyDescent="0.4">
      <c r="A78" s="3">
        <v>44723.466956018521</v>
      </c>
      <c r="B78" s="4">
        <v>422</v>
      </c>
      <c r="C78" s="4">
        <v>54.17</v>
      </c>
      <c r="D78">
        <f t="shared" si="1"/>
        <v>76.6314864</v>
      </c>
    </row>
    <row r="79" spans="1:5" ht="15" thickBot="1" x14ac:dyDescent="0.4">
      <c r="A79" s="3">
        <v>44723.470497685186</v>
      </c>
      <c r="B79" s="4">
        <v>418</v>
      </c>
      <c r="C79" s="4">
        <v>53.82</v>
      </c>
      <c r="D79">
        <f t="shared" si="1"/>
        <v>75.905121600000001</v>
      </c>
    </row>
    <row r="80" spans="1:5" ht="15" thickBot="1" x14ac:dyDescent="0.4">
      <c r="A80" s="3">
        <v>44723.474027777775</v>
      </c>
      <c r="B80" s="4">
        <v>407</v>
      </c>
      <c r="C80" s="4">
        <v>52.33</v>
      </c>
      <c r="D80">
        <f t="shared" si="1"/>
        <v>73.90761839999999</v>
      </c>
    </row>
    <row r="81" spans="1:5" ht="15" thickBot="1" x14ac:dyDescent="0.4">
      <c r="A81" s="3">
        <v>44723.47755787037</v>
      </c>
      <c r="B81" s="4">
        <v>425</v>
      </c>
      <c r="C81" s="4">
        <v>54.54</v>
      </c>
      <c r="D81">
        <f t="shared" si="1"/>
        <v>77.176259999999999</v>
      </c>
    </row>
    <row r="82" spans="1:5" ht="15" thickBot="1" x14ac:dyDescent="0.4">
      <c r="A82" s="3">
        <v>44723.481087962966</v>
      </c>
      <c r="B82" s="4">
        <v>457</v>
      </c>
      <c r="C82" s="4">
        <v>58.35</v>
      </c>
      <c r="D82">
        <f t="shared" si="1"/>
        <v>82.987178399999991</v>
      </c>
    </row>
    <row r="83" spans="1:5" ht="15" thickBot="1" x14ac:dyDescent="0.4">
      <c r="A83" s="3">
        <v>44723.484618055554</v>
      </c>
      <c r="B83" s="4">
        <v>466</v>
      </c>
      <c r="C83" s="4">
        <v>59.3</v>
      </c>
      <c r="D83">
        <f t="shared" si="1"/>
        <v>84.621499200000002</v>
      </c>
    </row>
    <row r="84" spans="1:5" ht="15" thickBot="1" x14ac:dyDescent="0.4">
      <c r="A84" s="3">
        <v>44723.48814814815</v>
      </c>
      <c r="B84" s="4">
        <v>480</v>
      </c>
      <c r="C84" s="4">
        <v>60.91</v>
      </c>
      <c r="D84">
        <f t="shared" si="1"/>
        <v>87.163775999999999</v>
      </c>
    </row>
    <row r="85" spans="1:5" ht="15" thickBot="1" x14ac:dyDescent="0.4">
      <c r="A85" s="3">
        <v>44723.491678240738</v>
      </c>
      <c r="B85" s="4">
        <v>461</v>
      </c>
      <c r="C85" s="4">
        <v>58.53</v>
      </c>
      <c r="D85">
        <f t="shared" si="1"/>
        <v>83.713543200000004</v>
      </c>
    </row>
    <row r="86" spans="1:5" ht="15" thickBot="1" x14ac:dyDescent="0.4">
      <c r="A86" s="3">
        <v>44723.495208333334</v>
      </c>
      <c r="B86" s="4">
        <v>441</v>
      </c>
      <c r="C86" s="4">
        <v>56</v>
      </c>
      <c r="D86">
        <f t="shared" si="1"/>
        <v>80.081719200000009</v>
      </c>
    </row>
    <row r="87" spans="1:5" ht="15" thickBot="1" x14ac:dyDescent="0.4">
      <c r="A87" s="3">
        <v>44723.498738425929</v>
      </c>
      <c r="B87" s="4">
        <v>439</v>
      </c>
      <c r="C87" s="4">
        <v>55.77</v>
      </c>
      <c r="D87">
        <f t="shared" si="1"/>
        <v>79.718536799999995</v>
      </c>
    </row>
    <row r="88" spans="1:5" ht="15" thickBot="1" x14ac:dyDescent="0.4">
      <c r="A88" s="3">
        <v>44723.502268518518</v>
      </c>
      <c r="B88" s="4">
        <v>462</v>
      </c>
      <c r="C88" s="4">
        <v>58.81</v>
      </c>
      <c r="D88">
        <f t="shared" si="1"/>
        <v>83.895134399999989</v>
      </c>
      <c r="E88">
        <f>AVERAGE(D88:D99)</f>
        <v>83.138504400000002</v>
      </c>
    </row>
    <row r="89" spans="1:5" ht="15" thickBot="1" x14ac:dyDescent="0.4">
      <c r="A89" s="3">
        <v>44723.505798611113</v>
      </c>
      <c r="B89" s="4">
        <v>468</v>
      </c>
      <c r="C89" s="4">
        <v>59.35</v>
      </c>
      <c r="D89">
        <f t="shared" si="1"/>
        <v>84.984681600000002</v>
      </c>
    </row>
    <row r="90" spans="1:5" ht="15" thickBot="1" x14ac:dyDescent="0.4">
      <c r="A90" s="3">
        <v>44723.509351851855</v>
      </c>
      <c r="B90" s="4">
        <v>472</v>
      </c>
      <c r="C90" s="4">
        <v>60.14</v>
      </c>
      <c r="D90">
        <f t="shared" si="1"/>
        <v>85.711046399999987</v>
      </c>
    </row>
    <row r="91" spans="1:5" ht="15" thickBot="1" x14ac:dyDescent="0.4">
      <c r="A91" s="3">
        <v>44723.512881944444</v>
      </c>
      <c r="B91" s="4">
        <v>446</v>
      </c>
      <c r="C91" s="4">
        <v>56.54</v>
      </c>
      <c r="D91">
        <f t="shared" si="1"/>
        <v>80.989675199999994</v>
      </c>
    </row>
    <row r="92" spans="1:5" ht="15" thickBot="1" x14ac:dyDescent="0.4">
      <c r="A92" s="3">
        <v>44723.516412037039</v>
      </c>
      <c r="B92" s="4">
        <v>449</v>
      </c>
      <c r="C92" s="4">
        <v>56.61</v>
      </c>
      <c r="D92">
        <f t="shared" si="1"/>
        <v>81.534448799999993</v>
      </c>
    </row>
    <row r="93" spans="1:5" ht="15" thickBot="1" x14ac:dyDescent="0.4">
      <c r="A93" s="3">
        <v>44723.519930555558</v>
      </c>
      <c r="B93" s="4">
        <v>465</v>
      </c>
      <c r="C93" s="4">
        <v>58.52</v>
      </c>
      <c r="D93">
        <f t="shared" si="1"/>
        <v>84.439908000000003</v>
      </c>
    </row>
    <row r="94" spans="1:5" ht="15" thickBot="1" x14ac:dyDescent="0.4">
      <c r="A94" s="3">
        <v>44723.523472222223</v>
      </c>
      <c r="B94" s="4">
        <v>468</v>
      </c>
      <c r="C94" s="4">
        <v>59.18</v>
      </c>
      <c r="D94">
        <f t="shared" si="1"/>
        <v>84.984681600000002</v>
      </c>
    </row>
    <row r="95" spans="1:5" ht="15" thickBot="1" x14ac:dyDescent="0.4">
      <c r="A95" s="3">
        <v>44723.526990740742</v>
      </c>
      <c r="B95" s="4">
        <v>461</v>
      </c>
      <c r="C95" s="4">
        <v>58.04</v>
      </c>
      <c r="D95">
        <f t="shared" si="1"/>
        <v>83.713543200000004</v>
      </c>
    </row>
    <row r="96" spans="1:5" ht="15" thickBot="1" x14ac:dyDescent="0.4">
      <c r="A96" s="3">
        <v>44723.530532407407</v>
      </c>
      <c r="B96" s="4">
        <v>476</v>
      </c>
      <c r="C96" s="4">
        <v>59.73</v>
      </c>
      <c r="D96">
        <f t="shared" si="1"/>
        <v>86.4374112</v>
      </c>
    </row>
    <row r="97" spans="1:5" ht="15" thickBot="1" x14ac:dyDescent="0.4">
      <c r="A97" s="3">
        <v>44723.534050925926</v>
      </c>
      <c r="B97" s="4">
        <v>475</v>
      </c>
      <c r="C97" s="4">
        <v>59.54</v>
      </c>
      <c r="D97">
        <f t="shared" si="1"/>
        <v>86.255819999999986</v>
      </c>
    </row>
    <row r="98" spans="1:5" ht="15" thickBot="1" x14ac:dyDescent="0.4">
      <c r="A98" s="3">
        <v>44723.537592592591</v>
      </c>
      <c r="B98" s="4">
        <v>445</v>
      </c>
      <c r="C98" s="4">
        <v>56.57</v>
      </c>
      <c r="D98">
        <f t="shared" si="1"/>
        <v>80.808083999999994</v>
      </c>
    </row>
    <row r="99" spans="1:5" ht="15" thickBot="1" x14ac:dyDescent="0.4">
      <c r="A99" s="3">
        <v>44723.54111111111</v>
      </c>
      <c r="B99" s="4">
        <v>407</v>
      </c>
      <c r="C99" s="4">
        <v>51.53</v>
      </c>
      <c r="D99">
        <f t="shared" si="1"/>
        <v>73.90761839999999</v>
      </c>
    </row>
    <row r="100" spans="1:5" ht="15" thickBot="1" x14ac:dyDescent="0.4">
      <c r="A100" s="3">
        <v>44723.544652777775</v>
      </c>
      <c r="B100" s="4">
        <v>399</v>
      </c>
      <c r="C100" s="4">
        <v>50.33</v>
      </c>
      <c r="D100">
        <f t="shared" si="1"/>
        <v>72.454888800000006</v>
      </c>
      <c r="E100">
        <f>AVERAGE(D100:D111)</f>
        <v>70.548181200000002</v>
      </c>
    </row>
    <row r="101" spans="1:5" ht="15" thickBot="1" x14ac:dyDescent="0.4">
      <c r="A101" s="3">
        <v>44723.548171296294</v>
      </c>
      <c r="B101" s="4">
        <v>397</v>
      </c>
      <c r="C101" s="4">
        <v>50.2</v>
      </c>
      <c r="D101">
        <f t="shared" si="1"/>
        <v>72.091706399999993</v>
      </c>
    </row>
    <row r="102" spans="1:5" ht="15" thickBot="1" x14ac:dyDescent="0.4">
      <c r="A102" s="3">
        <v>44723.551701388889</v>
      </c>
      <c r="B102" s="4">
        <v>391</v>
      </c>
      <c r="C102" s="4">
        <v>49.31</v>
      </c>
      <c r="D102">
        <f t="shared" si="1"/>
        <v>71.002159199999994</v>
      </c>
    </row>
    <row r="103" spans="1:5" ht="15" thickBot="1" x14ac:dyDescent="0.4">
      <c r="A103" s="3">
        <v>44723.555231481485</v>
      </c>
      <c r="B103" s="4">
        <v>382</v>
      </c>
      <c r="C103" s="4">
        <v>48.43</v>
      </c>
      <c r="D103">
        <f t="shared" si="1"/>
        <v>69.367838399999997</v>
      </c>
    </row>
    <row r="104" spans="1:5" ht="15" thickBot="1" x14ac:dyDescent="0.4">
      <c r="A104" s="3">
        <v>44723.558761574073</v>
      </c>
      <c r="B104" s="4">
        <v>376</v>
      </c>
      <c r="C104" s="4">
        <v>47.78</v>
      </c>
      <c r="D104">
        <f t="shared" si="1"/>
        <v>68.278291199999998</v>
      </c>
    </row>
    <row r="105" spans="1:5" ht="15" thickBot="1" x14ac:dyDescent="0.4">
      <c r="A105" s="3">
        <v>44723.562291666669</v>
      </c>
      <c r="B105" s="4">
        <v>379</v>
      </c>
      <c r="C105" s="4">
        <v>47.47</v>
      </c>
      <c r="D105">
        <f t="shared" si="1"/>
        <v>68.823064800000012</v>
      </c>
    </row>
    <row r="106" spans="1:5" ht="15" thickBot="1" x14ac:dyDescent="0.4">
      <c r="A106" s="3">
        <v>44723.565821759257</v>
      </c>
      <c r="B106" s="4">
        <v>383</v>
      </c>
      <c r="C106" s="4">
        <v>48.19</v>
      </c>
      <c r="D106">
        <f t="shared" si="1"/>
        <v>69.549429599999982</v>
      </c>
    </row>
    <row r="107" spans="1:5" ht="15" thickBot="1" x14ac:dyDescent="0.4">
      <c r="A107" s="3">
        <v>44723.569351851853</v>
      </c>
      <c r="B107" s="4">
        <v>388</v>
      </c>
      <c r="C107" s="4">
        <v>48.87</v>
      </c>
      <c r="D107">
        <f t="shared" si="1"/>
        <v>70.457385599999995</v>
      </c>
    </row>
    <row r="108" spans="1:5" ht="15" thickBot="1" x14ac:dyDescent="0.4">
      <c r="A108" s="3">
        <v>44723.572881944441</v>
      </c>
      <c r="B108" s="4">
        <v>390</v>
      </c>
      <c r="C108" s="4">
        <v>49.13</v>
      </c>
      <c r="D108">
        <f t="shared" si="1"/>
        <v>70.820567999999994</v>
      </c>
    </row>
    <row r="109" spans="1:5" ht="15" thickBot="1" x14ac:dyDescent="0.4">
      <c r="A109" s="3">
        <v>44723.576412037037</v>
      </c>
      <c r="B109" s="4">
        <v>393</v>
      </c>
      <c r="C109" s="4">
        <v>49.25</v>
      </c>
      <c r="D109">
        <f t="shared" si="1"/>
        <v>71.365341599999994</v>
      </c>
    </row>
    <row r="110" spans="1:5" ht="15" thickBot="1" x14ac:dyDescent="0.4">
      <c r="A110" s="3">
        <v>44723.579942129632</v>
      </c>
      <c r="B110" s="4">
        <v>390</v>
      </c>
      <c r="C110" s="4">
        <v>49.38</v>
      </c>
      <c r="D110">
        <f t="shared" si="1"/>
        <v>70.820567999999994</v>
      </c>
    </row>
    <row r="111" spans="1:5" ht="15" thickBot="1" x14ac:dyDescent="0.4">
      <c r="A111" s="3">
        <v>44723.583472222221</v>
      </c>
      <c r="B111" s="4">
        <v>394</v>
      </c>
      <c r="C111" s="4">
        <v>49.43</v>
      </c>
      <c r="D111">
        <f t="shared" si="1"/>
        <v>71.546932799999993</v>
      </c>
    </row>
    <row r="112" spans="1:5" ht="15" thickBot="1" x14ac:dyDescent="0.4">
      <c r="A112" s="3">
        <v>44723.587002314816</v>
      </c>
      <c r="B112" s="4">
        <v>386</v>
      </c>
      <c r="C112" s="4">
        <v>48.56</v>
      </c>
      <c r="D112">
        <f t="shared" si="1"/>
        <v>70.094203199999995</v>
      </c>
      <c r="E112">
        <f>AVERAGE(D112:D123)</f>
        <v>67.703252399999982</v>
      </c>
    </row>
    <row r="113" spans="1:5" ht="15" thickBot="1" x14ac:dyDescent="0.4">
      <c r="A113" s="3">
        <v>44723.590532407405</v>
      </c>
      <c r="B113" s="4">
        <v>378</v>
      </c>
      <c r="C113" s="4">
        <v>47.38</v>
      </c>
      <c r="D113">
        <f t="shared" si="1"/>
        <v>68.641473599999998</v>
      </c>
    </row>
    <row r="114" spans="1:5" ht="15" thickBot="1" x14ac:dyDescent="0.4">
      <c r="A114" s="3">
        <v>44723.5940625</v>
      </c>
      <c r="B114" s="4">
        <v>376</v>
      </c>
      <c r="C114" s="4">
        <v>47.08</v>
      </c>
      <c r="D114">
        <f t="shared" si="1"/>
        <v>68.278291199999998</v>
      </c>
    </row>
    <row r="115" spans="1:5" ht="15" thickBot="1" x14ac:dyDescent="0.4">
      <c r="A115" s="3">
        <v>44723.597592592596</v>
      </c>
      <c r="B115" s="4">
        <v>381</v>
      </c>
      <c r="C115" s="4">
        <v>47.67</v>
      </c>
      <c r="D115">
        <f t="shared" si="1"/>
        <v>69.186247199999983</v>
      </c>
    </row>
    <row r="116" spans="1:5" ht="15" thickBot="1" x14ac:dyDescent="0.4">
      <c r="A116" s="3">
        <v>44723.601122685184</v>
      </c>
      <c r="B116" s="4">
        <v>386</v>
      </c>
      <c r="C116" s="4">
        <v>48.08</v>
      </c>
      <c r="D116">
        <f t="shared" si="1"/>
        <v>70.094203199999995</v>
      </c>
    </row>
    <row r="117" spans="1:5" ht="15" thickBot="1" x14ac:dyDescent="0.4">
      <c r="A117" s="3">
        <v>44723.60465277778</v>
      </c>
      <c r="B117" s="4">
        <v>390</v>
      </c>
      <c r="C117" s="4">
        <v>48.82</v>
      </c>
      <c r="D117">
        <f t="shared" si="1"/>
        <v>70.820567999999994</v>
      </c>
    </row>
    <row r="118" spans="1:5" ht="15" thickBot="1" x14ac:dyDescent="0.4">
      <c r="A118" s="3">
        <v>44723.608182870368</v>
      </c>
      <c r="B118" s="4">
        <v>382</v>
      </c>
      <c r="C118" s="4">
        <v>47.28</v>
      </c>
      <c r="D118">
        <f t="shared" si="1"/>
        <v>69.367838399999997</v>
      </c>
    </row>
    <row r="119" spans="1:5" ht="15" thickBot="1" x14ac:dyDescent="0.4">
      <c r="A119" s="3">
        <v>44723.611712962964</v>
      </c>
      <c r="B119" s="4">
        <v>360</v>
      </c>
      <c r="C119" s="4">
        <v>44.82</v>
      </c>
      <c r="D119">
        <f t="shared" si="1"/>
        <v>65.372831999999988</v>
      </c>
    </row>
    <row r="120" spans="1:5" ht="15" thickBot="1" x14ac:dyDescent="0.4">
      <c r="A120" s="3">
        <v>44723.615243055552</v>
      </c>
      <c r="B120" s="4">
        <v>350</v>
      </c>
      <c r="C120" s="4">
        <v>43.87</v>
      </c>
      <c r="D120">
        <f t="shared" si="1"/>
        <v>63.556919999999998</v>
      </c>
    </row>
    <row r="121" spans="1:5" ht="15" thickBot="1" x14ac:dyDescent="0.4">
      <c r="A121" s="3">
        <v>44723.618773148148</v>
      </c>
      <c r="B121" s="4">
        <v>352</v>
      </c>
      <c r="C121" s="4">
        <v>44.15</v>
      </c>
      <c r="D121">
        <f t="shared" si="1"/>
        <v>63.920102400000005</v>
      </c>
    </row>
    <row r="122" spans="1:5" ht="15" thickBot="1" x14ac:dyDescent="0.4">
      <c r="A122" s="3">
        <v>44723.622303240743</v>
      </c>
      <c r="B122" s="4">
        <v>361</v>
      </c>
      <c r="C122" s="4">
        <v>45.47</v>
      </c>
      <c r="D122">
        <f t="shared" si="1"/>
        <v>65.554423199999988</v>
      </c>
    </row>
    <row r="123" spans="1:5" ht="15" thickBot="1" x14ac:dyDescent="0.4">
      <c r="A123" s="3">
        <v>44723.625833333332</v>
      </c>
      <c r="B123" s="4">
        <v>372</v>
      </c>
      <c r="C123" s="4">
        <v>46.66</v>
      </c>
      <c r="D123">
        <f t="shared" si="1"/>
        <v>67.551926399999999</v>
      </c>
      <c r="E123">
        <f>AVERAGE(D123:D134)</f>
        <v>65.039914800000005</v>
      </c>
    </row>
    <row r="124" spans="1:5" ht="15" thickBot="1" x14ac:dyDescent="0.4">
      <c r="A124" s="3">
        <v>44723.629363425927</v>
      </c>
      <c r="B124" s="4">
        <v>370</v>
      </c>
      <c r="C124" s="4">
        <v>46.64</v>
      </c>
      <c r="D124">
        <f t="shared" si="1"/>
        <v>67.188743999999986</v>
      </c>
    </row>
    <row r="125" spans="1:5" ht="15" thickBot="1" x14ac:dyDescent="0.4">
      <c r="A125" s="3">
        <v>44723.632905092592</v>
      </c>
      <c r="B125" s="4">
        <v>395</v>
      </c>
      <c r="C125" s="4">
        <v>49.4</v>
      </c>
      <c r="D125">
        <f t="shared" si="1"/>
        <v>71.728523999999993</v>
      </c>
    </row>
    <row r="126" spans="1:5" ht="15" thickBot="1" x14ac:dyDescent="0.4">
      <c r="A126" s="3">
        <v>44723.636435185188</v>
      </c>
      <c r="B126" s="4">
        <v>392</v>
      </c>
      <c r="C126" s="4">
        <v>49.19</v>
      </c>
      <c r="D126">
        <f t="shared" si="1"/>
        <v>71.183750400000008</v>
      </c>
    </row>
    <row r="127" spans="1:5" ht="15" thickBot="1" x14ac:dyDescent="0.4">
      <c r="A127" s="3">
        <v>44723.639965277776</v>
      </c>
      <c r="B127" s="4">
        <v>364</v>
      </c>
      <c r="C127" s="4">
        <v>45.57</v>
      </c>
      <c r="D127">
        <f t="shared" si="1"/>
        <v>66.099196800000001</v>
      </c>
    </row>
    <row r="128" spans="1:5" ht="15" thickBot="1" x14ac:dyDescent="0.4">
      <c r="A128" s="3">
        <v>44723.643495370372</v>
      </c>
      <c r="B128" s="4">
        <v>372</v>
      </c>
      <c r="C128" s="4">
        <v>46.08</v>
      </c>
      <c r="D128">
        <f t="shared" si="1"/>
        <v>67.551926399999999</v>
      </c>
    </row>
    <row r="129" spans="1:5" ht="15" thickBot="1" x14ac:dyDescent="0.4">
      <c r="A129" s="3">
        <v>44723.64702546296</v>
      </c>
      <c r="B129" s="4">
        <v>380</v>
      </c>
      <c r="C129" s="4">
        <v>47.16</v>
      </c>
      <c r="D129">
        <f t="shared" si="1"/>
        <v>69.004655999999997</v>
      </c>
    </row>
    <row r="130" spans="1:5" ht="15" thickBot="1" x14ac:dyDescent="0.4">
      <c r="A130" s="3">
        <v>44723.650555555556</v>
      </c>
      <c r="B130" s="4">
        <v>364</v>
      </c>
      <c r="C130" s="4">
        <v>45.21</v>
      </c>
      <c r="D130">
        <f t="shared" si="1"/>
        <v>66.099196800000001</v>
      </c>
    </row>
    <row r="131" spans="1:5" ht="15" thickBot="1" x14ac:dyDescent="0.4">
      <c r="A131" s="3">
        <v>44723.654085648152</v>
      </c>
      <c r="B131" s="4">
        <v>357</v>
      </c>
      <c r="C131" s="4">
        <v>44.31</v>
      </c>
      <c r="D131">
        <f t="shared" si="1"/>
        <v>64.828058399999989</v>
      </c>
    </row>
    <row r="132" spans="1:5" ht="15" thickBot="1" x14ac:dyDescent="0.4">
      <c r="A132" s="3">
        <v>44723.65761574074</v>
      </c>
      <c r="B132" s="4">
        <v>325</v>
      </c>
      <c r="C132" s="4">
        <v>40.119999999999997</v>
      </c>
      <c r="D132">
        <f t="shared" si="1"/>
        <v>59.017139999999998</v>
      </c>
    </row>
    <row r="133" spans="1:5" ht="15" thickBot="1" x14ac:dyDescent="0.4">
      <c r="A133" s="3">
        <v>44723.661145833335</v>
      </c>
      <c r="B133" s="4">
        <v>304</v>
      </c>
      <c r="C133" s="4">
        <v>37.81</v>
      </c>
      <c r="D133">
        <f t="shared" si="1"/>
        <v>55.203724799999996</v>
      </c>
    </row>
    <row r="134" spans="1:5" ht="15" thickBot="1" x14ac:dyDescent="0.4">
      <c r="A134" s="3">
        <v>44723.664675925924</v>
      </c>
      <c r="B134" s="4">
        <v>303</v>
      </c>
      <c r="C134" s="4">
        <v>37.68</v>
      </c>
      <c r="D134">
        <f t="shared" ref="D134:D169" si="2">B134*1513.26*0.12/1000</f>
        <v>55.022133599999997</v>
      </c>
    </row>
    <row r="135" spans="1:5" ht="15" thickBot="1" x14ac:dyDescent="0.4">
      <c r="A135" s="3">
        <v>44723.668206018519</v>
      </c>
      <c r="B135" s="4">
        <v>291</v>
      </c>
      <c r="C135" s="4">
        <v>36.31</v>
      </c>
      <c r="D135">
        <f t="shared" si="2"/>
        <v>52.843039199999993</v>
      </c>
      <c r="E135">
        <f>AVERAGE(D135:D146)</f>
        <v>45.337269600000006</v>
      </c>
    </row>
    <row r="136" spans="1:5" ht="15" thickBot="1" x14ac:dyDescent="0.4">
      <c r="A136" s="3">
        <v>44723.671736111108</v>
      </c>
      <c r="B136" s="4">
        <v>284</v>
      </c>
      <c r="C136" s="4">
        <v>35.369999999999997</v>
      </c>
      <c r="D136">
        <f t="shared" si="2"/>
        <v>51.571900800000002</v>
      </c>
    </row>
    <row r="137" spans="1:5" ht="15" thickBot="1" x14ac:dyDescent="0.4">
      <c r="A137" s="3">
        <v>44723.675266203703</v>
      </c>
      <c r="B137" s="4">
        <v>279</v>
      </c>
      <c r="C137" s="4">
        <v>34.520000000000003</v>
      </c>
      <c r="D137">
        <f t="shared" si="2"/>
        <v>50.663944799999996</v>
      </c>
    </row>
    <row r="138" spans="1:5" ht="15" thickBot="1" x14ac:dyDescent="0.4">
      <c r="A138" s="3">
        <v>44723.678796296299</v>
      </c>
      <c r="B138" s="4">
        <v>265</v>
      </c>
      <c r="C138" s="4">
        <v>32.9</v>
      </c>
      <c r="D138">
        <f t="shared" si="2"/>
        <v>48.121668</v>
      </c>
    </row>
    <row r="139" spans="1:5" ht="15" thickBot="1" x14ac:dyDescent="0.4">
      <c r="A139" s="3">
        <v>44723.682326388887</v>
      </c>
      <c r="B139" s="4">
        <v>258</v>
      </c>
      <c r="C139" s="4">
        <v>32.04</v>
      </c>
      <c r="D139">
        <f t="shared" si="2"/>
        <v>46.850529600000002</v>
      </c>
    </row>
    <row r="140" spans="1:5" ht="15" thickBot="1" x14ac:dyDescent="0.4">
      <c r="A140" s="3">
        <v>44723.685856481483</v>
      </c>
      <c r="B140" s="4">
        <v>256</v>
      </c>
      <c r="C140" s="4">
        <v>31.85</v>
      </c>
      <c r="D140">
        <f t="shared" si="2"/>
        <v>46.487347199999995</v>
      </c>
    </row>
    <row r="141" spans="1:5" ht="15" thickBot="1" x14ac:dyDescent="0.4">
      <c r="A141" s="3">
        <v>44723.689386574071</v>
      </c>
      <c r="B141" s="4">
        <v>244</v>
      </c>
      <c r="C141" s="4">
        <v>30.14</v>
      </c>
      <c r="D141">
        <f t="shared" si="2"/>
        <v>44.308252800000005</v>
      </c>
    </row>
    <row r="142" spans="1:5" ht="15" thickBot="1" x14ac:dyDescent="0.4">
      <c r="A142" s="3">
        <v>44723.692916666667</v>
      </c>
      <c r="B142" s="4">
        <v>232</v>
      </c>
      <c r="C142" s="4">
        <v>28.96</v>
      </c>
      <c r="D142">
        <f t="shared" si="2"/>
        <v>42.129158400000001</v>
      </c>
    </row>
    <row r="143" spans="1:5" ht="15" thickBot="1" x14ac:dyDescent="0.4">
      <c r="A143" s="3">
        <v>44723.696446759262</v>
      </c>
      <c r="B143" s="4">
        <v>229</v>
      </c>
      <c r="C143" s="4">
        <v>28.33</v>
      </c>
      <c r="D143">
        <f t="shared" si="2"/>
        <v>41.584384799999995</v>
      </c>
    </row>
    <row r="144" spans="1:5" ht="15" thickBot="1" x14ac:dyDescent="0.4">
      <c r="A144" s="3">
        <v>44723.699976851851</v>
      </c>
      <c r="B144" s="4">
        <v>222</v>
      </c>
      <c r="C144" s="4">
        <v>27.44</v>
      </c>
      <c r="D144">
        <f t="shared" si="2"/>
        <v>40.313246399999997</v>
      </c>
    </row>
    <row r="145" spans="1:5" ht="15" thickBot="1" x14ac:dyDescent="0.4">
      <c r="A145" s="3">
        <v>44723.703506944446</v>
      </c>
      <c r="B145" s="4">
        <v>217</v>
      </c>
      <c r="C145" s="4">
        <v>26.92</v>
      </c>
      <c r="D145">
        <f t="shared" si="2"/>
        <v>39.405290399999998</v>
      </c>
    </row>
    <row r="146" spans="1:5" ht="15" thickBot="1" x14ac:dyDescent="0.4">
      <c r="A146" s="3">
        <v>44723.707037037035</v>
      </c>
      <c r="B146" s="4">
        <v>219</v>
      </c>
      <c r="C146" s="4">
        <v>26.9</v>
      </c>
      <c r="D146">
        <f t="shared" si="2"/>
        <v>39.768472799999998</v>
      </c>
    </row>
    <row r="147" spans="1:5" ht="15" thickBot="1" x14ac:dyDescent="0.4">
      <c r="A147" s="3">
        <v>44723.71056712963</v>
      </c>
      <c r="B147" s="4">
        <v>221</v>
      </c>
      <c r="C147" s="4">
        <v>27.18</v>
      </c>
      <c r="D147">
        <f t="shared" si="2"/>
        <v>40.131655200000004</v>
      </c>
      <c r="E147">
        <f>AVERAGE(D147:D158)</f>
        <v>34.108880400000004</v>
      </c>
    </row>
    <row r="148" spans="1:5" ht="15" thickBot="1" x14ac:dyDescent="0.4">
      <c r="A148" s="3">
        <v>44723.714097222219</v>
      </c>
      <c r="B148" s="4">
        <v>219</v>
      </c>
      <c r="C148" s="4">
        <v>26.94</v>
      </c>
      <c r="D148">
        <f t="shared" si="2"/>
        <v>39.768472799999998</v>
      </c>
    </row>
    <row r="149" spans="1:5" ht="15" thickBot="1" x14ac:dyDescent="0.4">
      <c r="A149" s="3">
        <v>44723.717627314814</v>
      </c>
      <c r="B149" s="4">
        <v>219</v>
      </c>
      <c r="C149" s="4">
        <v>26.67</v>
      </c>
      <c r="D149">
        <f t="shared" si="2"/>
        <v>39.768472799999998</v>
      </c>
    </row>
    <row r="150" spans="1:5" ht="15" thickBot="1" x14ac:dyDescent="0.4">
      <c r="A150" s="3">
        <v>44723.721180555556</v>
      </c>
      <c r="B150" s="4">
        <v>214</v>
      </c>
      <c r="C150" s="4">
        <v>26.05</v>
      </c>
      <c r="D150">
        <f t="shared" si="2"/>
        <v>38.860516799999999</v>
      </c>
    </row>
    <row r="151" spans="1:5" ht="15" thickBot="1" x14ac:dyDescent="0.4">
      <c r="A151" s="3">
        <v>44723.724699074075</v>
      </c>
      <c r="B151" s="4">
        <v>207</v>
      </c>
      <c r="C151" s="4">
        <v>25.29</v>
      </c>
      <c r="D151">
        <f t="shared" si="2"/>
        <v>37.589378400000001</v>
      </c>
    </row>
    <row r="152" spans="1:5" ht="15" thickBot="1" x14ac:dyDescent="0.4">
      <c r="A152" s="3">
        <v>44723.72824074074</v>
      </c>
      <c r="B152" s="4">
        <v>201</v>
      </c>
      <c r="C152" s="4">
        <v>24.42</v>
      </c>
      <c r="D152">
        <f t="shared" si="2"/>
        <v>36.499831200000003</v>
      </c>
    </row>
    <row r="153" spans="1:5" ht="15" thickBot="1" x14ac:dyDescent="0.4">
      <c r="A153" s="3">
        <v>44723.731759259259</v>
      </c>
      <c r="B153" s="4">
        <v>192</v>
      </c>
      <c r="C153" s="4">
        <v>23.17</v>
      </c>
      <c r="D153">
        <f t="shared" si="2"/>
        <v>34.865510399999998</v>
      </c>
    </row>
    <row r="154" spans="1:5" ht="15" thickBot="1" x14ac:dyDescent="0.4">
      <c r="A154" s="3">
        <v>44723.735300925924</v>
      </c>
      <c r="B154" s="4">
        <v>180</v>
      </c>
      <c r="C154" s="4">
        <v>21.73</v>
      </c>
      <c r="D154">
        <f t="shared" si="2"/>
        <v>32.686415999999994</v>
      </c>
    </row>
    <row r="155" spans="1:5" ht="15" thickBot="1" x14ac:dyDescent="0.4">
      <c r="A155" s="3">
        <v>44723.738819444443</v>
      </c>
      <c r="B155" s="4">
        <v>169</v>
      </c>
      <c r="C155" s="4">
        <v>20.32</v>
      </c>
      <c r="D155">
        <f t="shared" si="2"/>
        <v>30.688912799999997</v>
      </c>
    </row>
    <row r="156" spans="1:5" ht="15" thickBot="1" x14ac:dyDescent="0.4">
      <c r="A156" s="3">
        <v>44723.742361111108</v>
      </c>
      <c r="B156" s="4">
        <v>157</v>
      </c>
      <c r="C156" s="4">
        <v>18.8</v>
      </c>
      <c r="D156">
        <f t="shared" si="2"/>
        <v>28.5098184</v>
      </c>
    </row>
    <row r="157" spans="1:5" ht="15" thickBot="1" x14ac:dyDescent="0.4">
      <c r="A157" s="3">
        <v>44723.745879629627</v>
      </c>
      <c r="B157" s="4">
        <v>144</v>
      </c>
      <c r="C157" s="4">
        <v>17.22</v>
      </c>
      <c r="D157">
        <f t="shared" si="2"/>
        <v>26.1491328</v>
      </c>
    </row>
    <row r="158" spans="1:5" ht="15" thickBot="1" x14ac:dyDescent="0.4">
      <c r="A158" s="3">
        <v>44723.749421296299</v>
      </c>
      <c r="B158" s="4">
        <v>131</v>
      </c>
      <c r="C158" s="4">
        <v>15.7</v>
      </c>
      <c r="D158">
        <f t="shared" si="2"/>
        <v>23.7884472</v>
      </c>
    </row>
    <row r="159" spans="1:5" ht="15" thickBot="1" x14ac:dyDescent="0.4">
      <c r="A159" s="3">
        <v>44723.752939814818</v>
      </c>
      <c r="B159" s="4">
        <v>121</v>
      </c>
      <c r="C159" s="4">
        <v>14.27</v>
      </c>
      <c r="D159">
        <f t="shared" si="2"/>
        <v>21.972535199999999</v>
      </c>
      <c r="E159">
        <f>AVERAGE(D159:D170)</f>
        <v>13.272665890909092</v>
      </c>
    </row>
    <row r="160" spans="1:5" ht="15" thickBot="1" x14ac:dyDescent="0.4">
      <c r="A160" s="3">
        <v>44723.756469907406</v>
      </c>
      <c r="B160" s="4">
        <v>109</v>
      </c>
      <c r="C160" s="4">
        <v>12.91</v>
      </c>
      <c r="D160">
        <f t="shared" si="2"/>
        <v>19.793440799999999</v>
      </c>
    </row>
    <row r="161" spans="1:4" ht="15" thickBot="1" x14ac:dyDescent="0.4">
      <c r="A161" s="3">
        <v>44723.76</v>
      </c>
      <c r="B161" s="4">
        <v>102</v>
      </c>
      <c r="C161" s="4">
        <v>11.71</v>
      </c>
      <c r="D161">
        <f t="shared" si="2"/>
        <v>18.522302399999997</v>
      </c>
    </row>
    <row r="162" spans="1:4" ht="15" thickBot="1" x14ac:dyDescent="0.4">
      <c r="A162" s="3">
        <v>44723.76353009259</v>
      </c>
      <c r="B162" s="4">
        <v>91</v>
      </c>
      <c r="C162" s="4">
        <v>10.54</v>
      </c>
      <c r="D162">
        <f t="shared" si="2"/>
        <v>16.5247992</v>
      </c>
    </row>
    <row r="163" spans="1:4" ht="15" thickBot="1" x14ac:dyDescent="0.4">
      <c r="A163" s="3">
        <v>44723.767060185186</v>
      </c>
      <c r="B163" s="4">
        <v>81</v>
      </c>
      <c r="C163" s="4">
        <v>9.58</v>
      </c>
      <c r="D163">
        <f t="shared" si="2"/>
        <v>14.708887199999999</v>
      </c>
    </row>
    <row r="164" spans="1:4" ht="15" thickBot="1" x14ac:dyDescent="0.4">
      <c r="A164" s="3">
        <v>44723.770590277774</v>
      </c>
      <c r="B164" s="4">
        <v>75</v>
      </c>
      <c r="C164" s="4">
        <v>8.39</v>
      </c>
      <c r="D164">
        <f t="shared" si="2"/>
        <v>13.619339999999999</v>
      </c>
    </row>
    <row r="165" spans="1:4" ht="15" thickBot="1" x14ac:dyDescent="0.4">
      <c r="A165" s="3">
        <v>44723.77412037037</v>
      </c>
      <c r="B165" s="4">
        <v>62</v>
      </c>
      <c r="C165" s="4">
        <v>7.19</v>
      </c>
      <c r="D165">
        <f t="shared" si="2"/>
        <v>11.258654399999999</v>
      </c>
    </row>
    <row r="166" spans="1:4" ht="15" thickBot="1" x14ac:dyDescent="0.4">
      <c r="A166" s="3">
        <v>44723.777650462966</v>
      </c>
      <c r="B166" s="4">
        <v>54</v>
      </c>
      <c r="C166" s="4">
        <v>5.88</v>
      </c>
      <c r="D166">
        <f t="shared" si="2"/>
        <v>9.8059247999999997</v>
      </c>
    </row>
    <row r="167" spans="1:4" ht="15" thickBot="1" x14ac:dyDescent="0.4">
      <c r="A167" s="3">
        <v>44723.781180555554</v>
      </c>
      <c r="B167" s="4">
        <v>45</v>
      </c>
      <c r="C167" s="4">
        <v>4.6100000000000003</v>
      </c>
      <c r="D167">
        <f t="shared" si="2"/>
        <v>8.1716039999999985</v>
      </c>
    </row>
    <row r="168" spans="1:4" ht="15" thickBot="1" x14ac:dyDescent="0.4">
      <c r="A168" s="3">
        <v>44723.784710648149</v>
      </c>
      <c r="B168" s="4">
        <v>35</v>
      </c>
      <c r="C168" s="4">
        <v>3.55</v>
      </c>
      <c r="D168">
        <f t="shared" si="2"/>
        <v>6.3556920000000003</v>
      </c>
    </row>
    <row r="169" spans="1:4" ht="15" thickBot="1" x14ac:dyDescent="0.4">
      <c r="A169" s="3">
        <v>44723.788240740738</v>
      </c>
      <c r="B169" s="4">
        <v>29</v>
      </c>
      <c r="C169" s="4">
        <v>2.79</v>
      </c>
      <c r="D169">
        <f t="shared" si="2"/>
        <v>5.2661448000000002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Power_vs_Irradiance_rpt_11Jun20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2022-11-01T10:14:49Z</dcterms:created>
  <dcterms:modified xsi:type="dcterms:W3CDTF">2023-02-05T11:05:45Z</dcterms:modified>
</cp:coreProperties>
</file>