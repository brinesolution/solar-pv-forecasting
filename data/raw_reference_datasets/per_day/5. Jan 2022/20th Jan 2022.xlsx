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0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003 Paper Submission - From Feb 2021\059 Applied Energy - Special Issue\Solar Irradiation-Power Data\5. Jan 2022\"/>
    </mc:Choice>
  </mc:AlternateContent>
  <xr:revisionPtr revIDLastSave="0" documentId="13_ncr:1_{BBD7B89C-9120-47E3-8EE6-54BD040E7C37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Power_vs_Irradiance_rpt_20Jan20" sheetId="1" r:id="rId1"/>
  </sheets>
  <calcPr calcId="181029"/>
</workbook>
</file>

<file path=xl/calcChain.xml><?xml version="1.0" encoding="utf-8"?>
<calcChain xmlns="http://schemas.openxmlformats.org/spreadsheetml/2006/main">
  <c r="D159" i="1" l="1"/>
  <c r="D147" i="1"/>
  <c r="D135" i="1"/>
  <c r="D123" i="1"/>
  <c r="D112" i="1"/>
  <c r="D100" i="1"/>
  <c r="D88" i="1"/>
  <c r="D76" i="1"/>
  <c r="D64" i="1"/>
  <c r="D53" i="1"/>
  <c r="D41" i="1"/>
  <c r="D29" i="1"/>
  <c r="D17" i="1"/>
  <c r="D5" i="1"/>
  <c r="C6" i="1"/>
  <c r="C7" i="1"/>
  <c r="C8" i="1"/>
  <c r="C9" i="1"/>
  <c r="C10" i="1"/>
  <c r="C11" i="1"/>
  <c r="C12" i="1"/>
  <c r="C13" i="1"/>
  <c r="C14" i="1"/>
  <c r="C15" i="1"/>
  <c r="C16" i="1"/>
  <c r="C17" i="1"/>
  <c r="C18" i="1"/>
  <c r="C19" i="1"/>
  <c r="C20" i="1"/>
  <c r="C21" i="1"/>
  <c r="C22" i="1"/>
  <c r="C23" i="1"/>
  <c r="C24" i="1"/>
  <c r="C25" i="1"/>
  <c r="C26" i="1"/>
  <c r="C27" i="1"/>
  <c r="C28" i="1"/>
  <c r="C29" i="1"/>
  <c r="C30" i="1"/>
  <c r="C31" i="1"/>
  <c r="C32" i="1"/>
  <c r="C33" i="1"/>
  <c r="C34" i="1"/>
  <c r="C35" i="1"/>
  <c r="C36" i="1"/>
  <c r="C37" i="1"/>
  <c r="C38" i="1"/>
  <c r="C39" i="1"/>
  <c r="C40" i="1"/>
  <c r="C41" i="1"/>
  <c r="C42" i="1"/>
  <c r="C43" i="1"/>
  <c r="C44" i="1"/>
  <c r="C45" i="1"/>
  <c r="C46" i="1"/>
  <c r="C47" i="1"/>
  <c r="C48" i="1"/>
  <c r="C49" i="1"/>
  <c r="C50" i="1"/>
  <c r="C51" i="1"/>
  <c r="C52" i="1"/>
  <c r="C53" i="1"/>
  <c r="C54" i="1"/>
  <c r="C55" i="1"/>
  <c r="C56" i="1"/>
  <c r="C57" i="1"/>
  <c r="C58" i="1"/>
  <c r="C59" i="1"/>
  <c r="C60" i="1"/>
  <c r="C61" i="1"/>
  <c r="C62" i="1"/>
  <c r="C63" i="1"/>
  <c r="C64" i="1"/>
  <c r="C65" i="1"/>
  <c r="C66" i="1"/>
  <c r="C67" i="1"/>
  <c r="C68" i="1"/>
  <c r="C69" i="1"/>
  <c r="C70" i="1"/>
  <c r="C71" i="1"/>
  <c r="C72" i="1"/>
  <c r="C73" i="1"/>
  <c r="C74" i="1"/>
  <c r="C75" i="1"/>
  <c r="C76" i="1"/>
  <c r="C77" i="1"/>
  <c r="C78" i="1"/>
  <c r="C79" i="1"/>
  <c r="C80" i="1"/>
  <c r="C81" i="1"/>
  <c r="C82" i="1"/>
  <c r="C83" i="1"/>
  <c r="C84" i="1"/>
  <c r="C85" i="1"/>
  <c r="C86" i="1"/>
  <c r="C87" i="1"/>
  <c r="C88" i="1"/>
  <c r="C89" i="1"/>
  <c r="C90" i="1"/>
  <c r="C91" i="1"/>
  <c r="C92" i="1"/>
  <c r="C93" i="1"/>
  <c r="C94" i="1"/>
  <c r="C95" i="1"/>
  <c r="C96" i="1"/>
  <c r="C97" i="1"/>
  <c r="C98" i="1"/>
  <c r="C99" i="1"/>
  <c r="C100" i="1"/>
  <c r="C101" i="1"/>
  <c r="C102" i="1"/>
  <c r="C103" i="1"/>
  <c r="C104" i="1"/>
  <c r="C105" i="1"/>
  <c r="C106" i="1"/>
  <c r="C107" i="1"/>
  <c r="C108" i="1"/>
  <c r="C109" i="1"/>
  <c r="C110" i="1"/>
  <c r="C111" i="1"/>
  <c r="C112" i="1"/>
  <c r="C113" i="1"/>
  <c r="C114" i="1"/>
  <c r="C115" i="1"/>
  <c r="C116" i="1"/>
  <c r="C117" i="1"/>
  <c r="C118" i="1"/>
  <c r="C119" i="1"/>
  <c r="C120" i="1"/>
  <c r="C121" i="1"/>
  <c r="C122" i="1"/>
  <c r="C123" i="1"/>
  <c r="C124" i="1"/>
  <c r="C125" i="1"/>
  <c r="C126" i="1"/>
  <c r="C127" i="1"/>
  <c r="C128" i="1"/>
  <c r="C129" i="1"/>
  <c r="C130" i="1"/>
  <c r="C131" i="1"/>
  <c r="C132" i="1"/>
  <c r="C133" i="1"/>
  <c r="C134" i="1"/>
  <c r="C135" i="1"/>
  <c r="C136" i="1"/>
  <c r="C137" i="1"/>
  <c r="C138" i="1"/>
  <c r="C139" i="1"/>
  <c r="C140" i="1"/>
  <c r="C141" i="1"/>
  <c r="C142" i="1"/>
  <c r="C143" i="1"/>
  <c r="C144" i="1"/>
  <c r="C145" i="1"/>
  <c r="C146" i="1"/>
  <c r="C147" i="1"/>
  <c r="C148" i="1"/>
  <c r="C149" i="1"/>
  <c r="C150" i="1"/>
  <c r="C151" i="1"/>
  <c r="C152" i="1"/>
  <c r="C153" i="1"/>
  <c r="C154" i="1"/>
  <c r="C155" i="1"/>
  <c r="C156" i="1"/>
  <c r="C157" i="1"/>
  <c r="C158" i="1"/>
  <c r="C159" i="1"/>
  <c r="C160" i="1"/>
  <c r="C161" i="1"/>
  <c r="C5" i="1"/>
</calcChain>
</file>

<file path=xl/sharedStrings.xml><?xml version="1.0" encoding="utf-8"?>
<sst xmlns="http://schemas.openxmlformats.org/spreadsheetml/2006/main" count="3" uniqueCount="3">
  <si>
    <t>Time</t>
  </si>
  <si>
    <t>Irradiance [W/m²]</t>
  </si>
  <si>
    <t>Power = Radiation x Area x Efficiency (scaled and expressed in kW)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</si>
</sst>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rgb="FFF9FDFF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rgb="FFF9FDFF"/>
      <name val="Calibri"/>
      <family val="2"/>
      <scheme val="minor"/>
    </font>
    <font>
      <b/>
      <sz val="11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00A8F9"/>
        <bgColor indexed="64"/>
      </patternFill>
    </fill>
  </fills>
  <borders count="1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9">
    <xf numFmtId="0" fontId="0" fillId="0" borderId="0" xfId="0"/>
    <xf numFmtId="0" fontId="18" fillId="0" borderId="0" xfId="0" applyFont="1"/>
    <xf numFmtId="0" fontId="20" fillId="33" borderId="10" xfId="0" applyFont="1" applyFill="1" applyBorder="1" applyAlignment="1">
      <alignment wrapText="1"/>
    </xf>
    <xf numFmtId="22" fontId="19" fillId="0" borderId="10" xfId="0" applyNumberFormat="1" applyFont="1" applyBorder="1" applyAlignment="1">
      <alignment wrapText="1"/>
    </xf>
    <xf numFmtId="0" fontId="19" fillId="0" borderId="10" xfId="0" applyFont="1" applyBorder="1" applyAlignment="1">
      <alignment wrapText="1"/>
    </xf>
    <xf numFmtId="0" fontId="0" fillId="0" borderId="11" xfId="0" applyBorder="1"/>
    <xf numFmtId="0" fontId="0" fillId="0" borderId="12" xfId="0" applyBorder="1"/>
    <xf numFmtId="0" fontId="0" fillId="0" borderId="13" xfId="0" applyBorder="1"/>
    <xf numFmtId="0" fontId="21" fillId="0" borderId="14" xfId="0" applyFont="1" applyBorder="1" applyAlignment="1">
      <alignment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http://web103.64.202.new.ocpwebserver.com/ExcelTemplate/img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</xdr:col>
      <xdr:colOff>177800</xdr:colOff>
      <xdr:row>2</xdr:row>
      <xdr:rowOff>107950</xdr:rowOff>
    </xdr:to>
    <xdr:pic>
      <xdr:nvPicPr>
        <xdr:cNvPr id="1025" name="Picture 1">
          <a:extLst>
            <a:ext uri="{FF2B5EF4-FFF2-40B4-BE49-F238E27FC236}">
              <a16:creationId xmlns:a16="http://schemas.microsoft.com/office/drawing/2014/main" id="{C0781571-EA7F-099A-F60E-7C4AEFA1579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link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1143000" cy="476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61"/>
  <sheetViews>
    <sheetView showGridLines="0" tabSelected="1" workbookViewId="0">
      <selection activeCell="D1" sqref="D1:D1048576"/>
    </sheetView>
  </sheetViews>
  <sheetFormatPr defaultRowHeight="14.5" x14ac:dyDescent="0.35"/>
  <cols>
    <col min="1" max="1" width="13.81640625" bestFit="1" customWidth="1"/>
    <col min="2" max="2" width="14.81640625" bestFit="1" customWidth="1"/>
    <col min="3" max="3" width="11.81640625" bestFit="1" customWidth="1"/>
  </cols>
  <sheetData>
    <row r="1" spans="1:4" x14ac:dyDescent="0.35">
      <c r="A1" s="5"/>
      <c r="B1" s="6"/>
    </row>
    <row r="2" spans="1:4" x14ac:dyDescent="0.35">
      <c r="A2" s="7"/>
    </row>
    <row r="3" spans="1:4" ht="15" thickBot="1" x14ac:dyDescent="0.4">
      <c r="A3" s="7"/>
    </row>
    <row r="4" spans="1:4" s="1" customFormat="1" ht="102" thickBot="1" x14ac:dyDescent="0.4">
      <c r="A4" s="2" t="s">
        <v>0</v>
      </c>
      <c r="B4" s="2" t="s">
        <v>1</v>
      </c>
      <c r="C4" s="8" t="s">
        <v>2</v>
      </c>
    </row>
    <row r="5" spans="1:4" ht="15" thickBot="1" x14ac:dyDescent="0.4">
      <c r="A5" s="3">
        <v>44581.210370370369</v>
      </c>
      <c r="B5" s="4">
        <v>2</v>
      </c>
      <c r="C5">
        <f>B5*1513.26*0.12/1000</f>
        <v>0.36318239999999996</v>
      </c>
      <c r="D5">
        <f>AVERAGE(C5:C16)</f>
        <v>0.43884539999999994</v>
      </c>
    </row>
    <row r="6" spans="1:4" ht="15" thickBot="1" x14ac:dyDescent="0.4">
      <c r="A6" s="3">
        <v>44581.214004629626</v>
      </c>
      <c r="B6" s="4">
        <v>4</v>
      </c>
      <c r="C6">
        <f t="shared" ref="C6:C69" si="0">B6*1513.26*0.12/1000</f>
        <v>0.72636479999999992</v>
      </c>
    </row>
    <row r="7" spans="1:4" ht="15" thickBot="1" x14ac:dyDescent="0.4">
      <c r="A7" s="3">
        <v>44581.217627314814</v>
      </c>
      <c r="B7" s="4">
        <v>2</v>
      </c>
      <c r="C7">
        <f t="shared" si="0"/>
        <v>0.36318239999999996</v>
      </c>
    </row>
    <row r="8" spans="1:4" ht="15" thickBot="1" x14ac:dyDescent="0.4">
      <c r="A8" s="3">
        <v>44581.221261574072</v>
      </c>
      <c r="B8" s="4">
        <v>2</v>
      </c>
      <c r="C8">
        <f t="shared" si="0"/>
        <v>0.36318239999999996</v>
      </c>
    </row>
    <row r="9" spans="1:4" ht="15" thickBot="1" x14ac:dyDescent="0.4">
      <c r="A9" s="3">
        <v>44581.22488425926</v>
      </c>
      <c r="B9" s="4">
        <v>2</v>
      </c>
      <c r="C9">
        <f t="shared" si="0"/>
        <v>0.36318239999999996</v>
      </c>
    </row>
    <row r="10" spans="1:4" ht="15" thickBot="1" x14ac:dyDescent="0.4">
      <c r="A10" s="3">
        <v>44581.228506944448</v>
      </c>
      <c r="B10" s="4">
        <v>3</v>
      </c>
      <c r="C10">
        <f t="shared" si="0"/>
        <v>0.54477359999999997</v>
      </c>
    </row>
    <row r="11" spans="1:4" ht="15" thickBot="1" x14ac:dyDescent="0.4">
      <c r="A11" s="3">
        <v>44581.232141203705</v>
      </c>
      <c r="B11" s="4">
        <v>1</v>
      </c>
      <c r="C11">
        <f t="shared" si="0"/>
        <v>0.18159119999999998</v>
      </c>
    </row>
    <row r="12" spans="1:4" ht="15" thickBot="1" x14ac:dyDescent="0.4">
      <c r="A12" s="3">
        <v>44581.235763888886</v>
      </c>
      <c r="B12" s="4">
        <v>4</v>
      </c>
      <c r="C12">
        <f t="shared" si="0"/>
        <v>0.72636479999999992</v>
      </c>
    </row>
    <row r="13" spans="1:4" ht="15" thickBot="1" x14ac:dyDescent="0.4">
      <c r="A13" s="3">
        <v>44581.239386574074</v>
      </c>
      <c r="B13" s="4">
        <v>2</v>
      </c>
      <c r="C13">
        <f t="shared" si="0"/>
        <v>0.36318239999999996</v>
      </c>
    </row>
    <row r="14" spans="1:4" ht="15" thickBot="1" x14ac:dyDescent="0.4">
      <c r="A14" s="3">
        <v>44581.243020833332</v>
      </c>
      <c r="B14" s="4">
        <v>2</v>
      </c>
      <c r="C14">
        <f t="shared" si="0"/>
        <v>0.36318239999999996</v>
      </c>
    </row>
    <row r="15" spans="1:4" ht="15" thickBot="1" x14ac:dyDescent="0.4">
      <c r="A15" s="3">
        <v>44581.24664351852</v>
      </c>
      <c r="B15" s="4">
        <v>4</v>
      </c>
      <c r="C15">
        <f t="shared" si="0"/>
        <v>0.72636479999999992</v>
      </c>
    </row>
    <row r="16" spans="1:4" ht="15" thickBot="1" x14ac:dyDescent="0.4">
      <c r="A16" s="3">
        <v>44581.2502662037</v>
      </c>
      <c r="B16" s="4">
        <v>1</v>
      </c>
      <c r="C16">
        <f t="shared" si="0"/>
        <v>0.18159119999999998</v>
      </c>
    </row>
    <row r="17" spans="1:4" ht="15" thickBot="1" x14ac:dyDescent="0.4">
      <c r="A17" s="3">
        <v>44581.253900462965</v>
      </c>
      <c r="B17" s="4">
        <v>3</v>
      </c>
      <c r="C17">
        <f t="shared" si="0"/>
        <v>0.54477359999999997</v>
      </c>
      <c r="D17">
        <f>AVERAGE(C17:C28)</f>
        <v>0.49937579999999998</v>
      </c>
    </row>
    <row r="18" spans="1:4" ht="15" thickBot="1" x14ac:dyDescent="0.4">
      <c r="A18" s="3">
        <v>44581.257523148146</v>
      </c>
      <c r="B18" s="4">
        <v>2</v>
      </c>
      <c r="C18">
        <f t="shared" si="0"/>
        <v>0.36318239999999996</v>
      </c>
    </row>
    <row r="19" spans="1:4" ht="15" thickBot="1" x14ac:dyDescent="0.4">
      <c r="A19" s="3">
        <v>44581.261145833334</v>
      </c>
      <c r="B19" s="4">
        <v>2</v>
      </c>
      <c r="C19">
        <f t="shared" si="0"/>
        <v>0.36318239999999996</v>
      </c>
    </row>
    <row r="20" spans="1:4" ht="15" thickBot="1" x14ac:dyDescent="0.4">
      <c r="A20" s="3">
        <v>44581.264780092592</v>
      </c>
      <c r="B20" s="4">
        <v>3</v>
      </c>
      <c r="C20">
        <f t="shared" si="0"/>
        <v>0.54477359999999997</v>
      </c>
    </row>
    <row r="21" spans="1:4" ht="15" thickBot="1" x14ac:dyDescent="0.4">
      <c r="A21" s="3">
        <v>44581.26840277778</v>
      </c>
      <c r="B21" s="4">
        <v>3</v>
      </c>
      <c r="C21">
        <f t="shared" si="0"/>
        <v>0.54477359999999997</v>
      </c>
    </row>
    <row r="22" spans="1:4" ht="15" thickBot="1" x14ac:dyDescent="0.4">
      <c r="A22" s="3">
        <v>44581.27202546296</v>
      </c>
      <c r="B22" s="4">
        <v>4</v>
      </c>
      <c r="C22">
        <f t="shared" si="0"/>
        <v>0.72636479999999992</v>
      </c>
    </row>
    <row r="23" spans="1:4" ht="15" thickBot="1" x14ac:dyDescent="0.4">
      <c r="A23" s="3">
        <v>44581.275659722225</v>
      </c>
      <c r="B23" s="4">
        <v>3</v>
      </c>
      <c r="C23">
        <f t="shared" si="0"/>
        <v>0.54477359999999997</v>
      </c>
    </row>
    <row r="24" spans="1:4" ht="15" thickBot="1" x14ac:dyDescent="0.4">
      <c r="A24" s="3">
        <v>44581.279282407406</v>
      </c>
      <c r="B24" s="4">
        <v>1</v>
      </c>
      <c r="C24">
        <f t="shared" si="0"/>
        <v>0.18159119999999998</v>
      </c>
    </row>
    <row r="25" spans="1:4" ht="15" thickBot="1" x14ac:dyDescent="0.4">
      <c r="A25" s="3">
        <v>44581.282905092594</v>
      </c>
      <c r="B25" s="4">
        <v>4</v>
      </c>
      <c r="C25">
        <f t="shared" si="0"/>
        <v>0.72636479999999992</v>
      </c>
    </row>
    <row r="26" spans="1:4" ht="15" thickBot="1" x14ac:dyDescent="0.4">
      <c r="A26" s="3">
        <v>44581.286539351851</v>
      </c>
      <c r="B26" s="4">
        <v>1</v>
      </c>
      <c r="C26">
        <f t="shared" si="0"/>
        <v>0.18159119999999998</v>
      </c>
    </row>
    <row r="27" spans="1:4" ht="15" thickBot="1" x14ac:dyDescent="0.4">
      <c r="A27" s="3">
        <v>44581.290162037039</v>
      </c>
      <c r="B27" s="4">
        <v>3</v>
      </c>
      <c r="C27">
        <f t="shared" si="0"/>
        <v>0.54477359999999997</v>
      </c>
    </row>
    <row r="28" spans="1:4" ht="15" thickBot="1" x14ac:dyDescent="0.4">
      <c r="A28" s="3">
        <v>44581.29378472222</v>
      </c>
      <c r="B28" s="4">
        <v>4</v>
      </c>
      <c r="C28">
        <f t="shared" si="0"/>
        <v>0.72636479999999992</v>
      </c>
    </row>
    <row r="29" spans="1:4" ht="15" thickBot="1" x14ac:dyDescent="0.4">
      <c r="A29" s="3">
        <v>44581.297418981485</v>
      </c>
      <c r="B29" s="4">
        <v>2</v>
      </c>
      <c r="C29">
        <f t="shared" si="0"/>
        <v>0.36318239999999996</v>
      </c>
      <c r="D29">
        <f>AVERAGE(C29:C40)</f>
        <v>4.0252715999999999</v>
      </c>
    </row>
    <row r="30" spans="1:4" ht="15" thickBot="1" x14ac:dyDescent="0.4">
      <c r="A30" s="3">
        <v>44581.301041666666</v>
      </c>
      <c r="B30" s="4">
        <v>3</v>
      </c>
      <c r="C30">
        <f t="shared" si="0"/>
        <v>0.54477359999999997</v>
      </c>
    </row>
    <row r="31" spans="1:4" ht="15" thickBot="1" x14ac:dyDescent="0.4">
      <c r="A31" s="3">
        <v>44581.304664351854</v>
      </c>
      <c r="B31" s="4">
        <v>4</v>
      </c>
      <c r="C31">
        <f t="shared" si="0"/>
        <v>0.72636479999999992</v>
      </c>
    </row>
    <row r="32" spans="1:4" ht="15" thickBot="1" x14ac:dyDescent="0.4">
      <c r="A32" s="3">
        <v>44581.308298611111</v>
      </c>
      <c r="B32" s="4">
        <v>3</v>
      </c>
      <c r="C32">
        <f t="shared" si="0"/>
        <v>0.54477359999999997</v>
      </c>
    </row>
    <row r="33" spans="1:4" ht="15" thickBot="1" x14ac:dyDescent="0.4">
      <c r="A33" s="3">
        <v>44581.311932870369</v>
      </c>
      <c r="B33" s="4">
        <v>7</v>
      </c>
      <c r="C33">
        <f t="shared" si="0"/>
        <v>1.2711383999999999</v>
      </c>
    </row>
    <row r="34" spans="1:4" ht="15" thickBot="1" x14ac:dyDescent="0.4">
      <c r="A34" s="3">
        <v>44581.315555555557</v>
      </c>
      <c r="B34" s="4">
        <v>9</v>
      </c>
      <c r="C34">
        <f t="shared" si="0"/>
        <v>1.6343208</v>
      </c>
    </row>
    <row r="35" spans="1:4" ht="15" thickBot="1" x14ac:dyDescent="0.4">
      <c r="A35" s="3">
        <v>44581.319189814814</v>
      </c>
      <c r="B35" s="4">
        <v>16</v>
      </c>
      <c r="C35">
        <f t="shared" si="0"/>
        <v>2.9054591999999997</v>
      </c>
    </row>
    <row r="36" spans="1:4" ht="15" thickBot="1" x14ac:dyDescent="0.4">
      <c r="A36" s="3">
        <v>44581.322812500002</v>
      </c>
      <c r="B36" s="4">
        <v>26</v>
      </c>
      <c r="C36">
        <f t="shared" si="0"/>
        <v>4.7213712000000001</v>
      </c>
    </row>
    <row r="37" spans="1:4" ht="15" thickBot="1" x14ac:dyDescent="0.4">
      <c r="A37" s="3">
        <v>44581.326435185183</v>
      </c>
      <c r="B37" s="4">
        <v>32</v>
      </c>
      <c r="C37">
        <f t="shared" si="0"/>
        <v>5.8109183999999994</v>
      </c>
    </row>
    <row r="38" spans="1:4" ht="15" thickBot="1" x14ac:dyDescent="0.4">
      <c r="A38" s="3">
        <v>44581.330069444448</v>
      </c>
      <c r="B38" s="4">
        <v>45</v>
      </c>
      <c r="C38">
        <f t="shared" si="0"/>
        <v>8.1716039999999985</v>
      </c>
    </row>
    <row r="39" spans="1:4" ht="15" thickBot="1" x14ac:dyDescent="0.4">
      <c r="A39" s="3">
        <v>44581.333692129629</v>
      </c>
      <c r="B39" s="4">
        <v>53</v>
      </c>
      <c r="C39">
        <f t="shared" si="0"/>
        <v>9.6243335999999999</v>
      </c>
    </row>
    <row r="40" spans="1:4" ht="15" thickBot="1" x14ac:dyDescent="0.4">
      <c r="A40" s="3">
        <v>44581.337326388886</v>
      </c>
      <c r="B40" s="4">
        <v>66</v>
      </c>
      <c r="C40">
        <f t="shared" si="0"/>
        <v>11.9850192</v>
      </c>
    </row>
    <row r="41" spans="1:4" ht="15" thickBot="1" x14ac:dyDescent="0.4">
      <c r="A41" s="3">
        <v>44581.340949074074</v>
      </c>
      <c r="B41" s="4">
        <v>77</v>
      </c>
      <c r="C41">
        <f t="shared" si="0"/>
        <v>13.982522400000001</v>
      </c>
      <c r="D41">
        <f>AVERAGE(C41:C52)</f>
        <v>32.338366200000003</v>
      </c>
    </row>
    <row r="42" spans="1:4" ht="15" thickBot="1" x14ac:dyDescent="0.4">
      <c r="A42" s="3">
        <v>44581.344571759262</v>
      </c>
      <c r="B42" s="4">
        <v>86</v>
      </c>
      <c r="C42">
        <f t="shared" si="0"/>
        <v>15.6168432</v>
      </c>
    </row>
    <row r="43" spans="1:4" ht="15" thickBot="1" x14ac:dyDescent="0.4">
      <c r="A43" s="3">
        <v>44581.348194444443</v>
      </c>
      <c r="B43" s="4">
        <v>99</v>
      </c>
      <c r="C43">
        <f t="shared" si="0"/>
        <v>17.977528799999995</v>
      </c>
    </row>
    <row r="44" spans="1:4" ht="15" thickBot="1" x14ac:dyDescent="0.4">
      <c r="A44" s="3">
        <v>44581.3518287037</v>
      </c>
      <c r="B44" s="4">
        <v>108</v>
      </c>
      <c r="C44">
        <f t="shared" si="0"/>
        <v>19.611849599999999</v>
      </c>
    </row>
    <row r="45" spans="1:4" ht="15" thickBot="1" x14ac:dyDescent="0.4">
      <c r="A45" s="3">
        <v>44581.355451388888</v>
      </c>
      <c r="B45" s="4">
        <v>156</v>
      </c>
      <c r="C45">
        <f t="shared" si="0"/>
        <v>28.328227199999997</v>
      </c>
    </row>
    <row r="46" spans="1:4" ht="15" thickBot="1" x14ac:dyDescent="0.4">
      <c r="A46" s="3">
        <v>44581.359085648146</v>
      </c>
      <c r="B46" s="4">
        <v>173</v>
      </c>
      <c r="C46">
        <f t="shared" si="0"/>
        <v>31.4152776</v>
      </c>
    </row>
    <row r="47" spans="1:4" ht="15" thickBot="1" x14ac:dyDescent="0.4">
      <c r="A47" s="3">
        <v>44581.362708333334</v>
      </c>
      <c r="B47" s="4">
        <v>193</v>
      </c>
      <c r="C47">
        <f t="shared" si="0"/>
        <v>35.047101599999998</v>
      </c>
    </row>
    <row r="48" spans="1:4" ht="15" thickBot="1" x14ac:dyDescent="0.4">
      <c r="A48" s="3">
        <v>44581.366331018522</v>
      </c>
      <c r="B48" s="4">
        <v>212</v>
      </c>
      <c r="C48">
        <f t="shared" si="0"/>
        <v>38.4973344</v>
      </c>
    </row>
    <row r="49" spans="1:4" ht="15" thickBot="1" x14ac:dyDescent="0.4">
      <c r="A49" s="3">
        <v>44581.36996527778</v>
      </c>
      <c r="B49" s="4">
        <v>228</v>
      </c>
      <c r="C49">
        <f t="shared" si="0"/>
        <v>41.402793599999995</v>
      </c>
    </row>
    <row r="50" spans="1:4" ht="15" thickBot="1" x14ac:dyDescent="0.4">
      <c r="A50" s="3">
        <v>44581.37358796296</v>
      </c>
      <c r="B50" s="4">
        <v>248</v>
      </c>
      <c r="C50">
        <f t="shared" si="0"/>
        <v>45.034617599999997</v>
      </c>
    </row>
    <row r="51" spans="1:4" ht="15" thickBot="1" x14ac:dyDescent="0.4">
      <c r="A51" s="3">
        <v>44581.377210648148</v>
      </c>
      <c r="B51" s="4">
        <v>267</v>
      </c>
      <c r="C51">
        <f t="shared" si="0"/>
        <v>48.484850399999999</v>
      </c>
    </row>
    <row r="52" spans="1:4" ht="15" thickBot="1" x14ac:dyDescent="0.4">
      <c r="A52" s="3">
        <v>44581.380844907406</v>
      </c>
      <c r="B52" s="4">
        <v>290</v>
      </c>
      <c r="C52">
        <f t="shared" si="0"/>
        <v>52.661448000000007</v>
      </c>
    </row>
    <row r="53" spans="1:4" ht="15" thickBot="1" x14ac:dyDescent="0.4">
      <c r="A53" s="3">
        <v>44581.384467592594</v>
      </c>
      <c r="B53" s="4">
        <v>312</v>
      </c>
      <c r="C53">
        <f t="shared" si="0"/>
        <v>56.656454399999994</v>
      </c>
      <c r="D53">
        <f>AVERAGE(C53:C64)</f>
        <v>75.042563399999992</v>
      </c>
    </row>
    <row r="54" spans="1:4" ht="15" thickBot="1" x14ac:dyDescent="0.4">
      <c r="A54" s="3">
        <v>44581.388090277775</v>
      </c>
      <c r="B54" s="4">
        <v>331</v>
      </c>
      <c r="C54">
        <f t="shared" si="0"/>
        <v>60.106687200000003</v>
      </c>
    </row>
    <row r="55" spans="1:4" ht="15" thickBot="1" x14ac:dyDescent="0.4">
      <c r="A55" s="3">
        <v>44581.391724537039</v>
      </c>
      <c r="B55" s="4">
        <v>348</v>
      </c>
      <c r="C55">
        <f t="shared" si="0"/>
        <v>63.193737599999992</v>
      </c>
    </row>
    <row r="56" spans="1:4" ht="15" thickBot="1" x14ac:dyDescent="0.4">
      <c r="A56" s="3">
        <v>44581.39534722222</v>
      </c>
      <c r="B56" s="4">
        <v>366</v>
      </c>
      <c r="C56">
        <f t="shared" si="0"/>
        <v>66.462379200000001</v>
      </c>
    </row>
    <row r="57" spans="1:4" ht="15" thickBot="1" x14ac:dyDescent="0.4">
      <c r="A57" s="3">
        <v>44581.398969907408</v>
      </c>
      <c r="B57" s="4">
        <v>383</v>
      </c>
      <c r="C57">
        <f t="shared" si="0"/>
        <v>69.549429599999982</v>
      </c>
    </row>
    <row r="58" spans="1:4" ht="15" thickBot="1" x14ac:dyDescent="0.4">
      <c r="A58" s="3">
        <v>44581.402604166666</v>
      </c>
      <c r="B58" s="4">
        <v>406</v>
      </c>
      <c r="C58">
        <f t="shared" si="0"/>
        <v>73.72602719999999</v>
      </c>
    </row>
    <row r="59" spans="1:4" ht="15" thickBot="1" x14ac:dyDescent="0.4">
      <c r="A59" s="3">
        <v>44581.406226851854</v>
      </c>
      <c r="B59" s="4">
        <v>428</v>
      </c>
      <c r="C59">
        <f t="shared" si="0"/>
        <v>77.721033599999998</v>
      </c>
    </row>
    <row r="60" spans="1:4" ht="15" thickBot="1" x14ac:dyDescent="0.4">
      <c r="A60" s="3">
        <v>44581.409849537034</v>
      </c>
      <c r="B60" s="4">
        <v>438</v>
      </c>
      <c r="C60">
        <f t="shared" si="0"/>
        <v>79.536945599999996</v>
      </c>
    </row>
    <row r="61" spans="1:4" ht="15" thickBot="1" x14ac:dyDescent="0.4">
      <c r="A61" s="3">
        <v>44581.413483796299</v>
      </c>
      <c r="B61" s="4">
        <v>464</v>
      </c>
      <c r="C61">
        <f t="shared" si="0"/>
        <v>84.258316800000003</v>
      </c>
    </row>
    <row r="62" spans="1:4" ht="15" thickBot="1" x14ac:dyDescent="0.4">
      <c r="A62" s="3">
        <v>44581.41710648148</v>
      </c>
      <c r="B62" s="4">
        <v>473</v>
      </c>
      <c r="C62">
        <f t="shared" si="0"/>
        <v>85.8926376</v>
      </c>
    </row>
    <row r="63" spans="1:4" ht="15" thickBot="1" x14ac:dyDescent="0.4">
      <c r="A63" s="3">
        <v>44581.420740740738</v>
      </c>
      <c r="B63" s="4">
        <v>494</v>
      </c>
      <c r="C63">
        <f t="shared" si="0"/>
        <v>89.706052799999995</v>
      </c>
    </row>
    <row r="64" spans="1:4" ht="15" thickBot="1" x14ac:dyDescent="0.4">
      <c r="A64" s="3">
        <v>44581.424363425926</v>
      </c>
      <c r="B64" s="4">
        <v>516</v>
      </c>
      <c r="C64">
        <f t="shared" si="0"/>
        <v>93.701059200000003</v>
      </c>
      <c r="D64">
        <f>AVERAGE(C64:C75)</f>
        <v>111.2851404</v>
      </c>
    </row>
    <row r="65" spans="1:4" ht="15" thickBot="1" x14ac:dyDescent="0.4">
      <c r="A65" s="3">
        <v>44581.427986111114</v>
      </c>
      <c r="B65" s="4">
        <v>539</v>
      </c>
      <c r="C65">
        <f t="shared" si="0"/>
        <v>97.877656799999997</v>
      </c>
    </row>
    <row r="66" spans="1:4" ht="15" thickBot="1" x14ac:dyDescent="0.4">
      <c r="A66" s="3">
        <v>44581.431620370371</v>
      </c>
      <c r="B66" s="4">
        <v>548</v>
      </c>
      <c r="C66">
        <f t="shared" si="0"/>
        <v>99.511977599999994</v>
      </c>
    </row>
    <row r="67" spans="1:4" ht="15" thickBot="1" x14ac:dyDescent="0.4">
      <c r="A67" s="3">
        <v>44581.435243055559</v>
      </c>
      <c r="B67" s="4">
        <v>559</v>
      </c>
      <c r="C67">
        <f t="shared" si="0"/>
        <v>101.50948079999999</v>
      </c>
    </row>
    <row r="68" spans="1:4" ht="15" thickBot="1" x14ac:dyDescent="0.4">
      <c r="A68" s="3">
        <v>44581.43886574074</v>
      </c>
      <c r="B68" s="4">
        <v>583</v>
      </c>
      <c r="C68">
        <f t="shared" si="0"/>
        <v>105.8676696</v>
      </c>
    </row>
    <row r="69" spans="1:4" ht="15" thickBot="1" x14ac:dyDescent="0.4">
      <c r="A69" s="3">
        <v>44581.442499999997</v>
      </c>
      <c r="B69" s="4">
        <v>577</v>
      </c>
      <c r="C69">
        <f t="shared" si="0"/>
        <v>104.77812239999999</v>
      </c>
    </row>
    <row r="70" spans="1:4" ht="15" thickBot="1" x14ac:dyDescent="0.4">
      <c r="A70" s="3">
        <v>44581.446122685185</v>
      </c>
      <c r="B70" s="4">
        <v>599</v>
      </c>
      <c r="C70">
        <f t="shared" ref="C70:C133" si="1">B70*1513.26*0.12/1000</f>
        <v>108.77312879999999</v>
      </c>
    </row>
    <row r="71" spans="1:4" ht="15" thickBot="1" x14ac:dyDescent="0.4">
      <c r="A71" s="3">
        <v>44581.449745370373</v>
      </c>
      <c r="B71" s="4">
        <v>617</v>
      </c>
      <c r="C71">
        <f t="shared" si="1"/>
        <v>112.04177039999999</v>
      </c>
    </row>
    <row r="72" spans="1:4" ht="15" thickBot="1" x14ac:dyDescent="0.4">
      <c r="A72" s="3">
        <v>44581.453379629631</v>
      </c>
      <c r="B72" s="4">
        <v>640</v>
      </c>
      <c r="C72">
        <f t="shared" si="1"/>
        <v>116.218368</v>
      </c>
    </row>
    <row r="73" spans="1:4" ht="15" thickBot="1" x14ac:dyDescent="0.4">
      <c r="A73" s="3">
        <v>44581.46025462963</v>
      </c>
      <c r="B73" s="4">
        <v>718</v>
      </c>
      <c r="C73">
        <f t="shared" si="1"/>
        <v>130.38248159999998</v>
      </c>
    </row>
    <row r="74" spans="1:4" ht="15" thickBot="1" x14ac:dyDescent="0.4">
      <c r="A74" s="3">
        <v>44581.463877314818</v>
      </c>
      <c r="B74" s="4">
        <v>708</v>
      </c>
      <c r="C74">
        <f t="shared" si="1"/>
        <v>128.56656960000001</v>
      </c>
    </row>
    <row r="75" spans="1:4" ht="15" thickBot="1" x14ac:dyDescent="0.4">
      <c r="A75" s="3">
        <v>44581.467511574076</v>
      </c>
      <c r="B75" s="4">
        <v>750</v>
      </c>
      <c r="C75">
        <f t="shared" si="1"/>
        <v>136.1934</v>
      </c>
    </row>
    <row r="76" spans="1:4" ht="15" thickBot="1" x14ac:dyDescent="0.4">
      <c r="A76" s="3">
        <v>44581.471134259256</v>
      </c>
      <c r="B76" s="4">
        <v>768</v>
      </c>
      <c r="C76">
        <f t="shared" si="1"/>
        <v>139.46204159999999</v>
      </c>
      <c r="D76">
        <f>AVERAGE(C76:C87)</f>
        <v>133.62085799999997</v>
      </c>
    </row>
    <row r="77" spans="1:4" ht="15" thickBot="1" x14ac:dyDescent="0.4">
      <c r="A77" s="3">
        <v>44581.474756944444</v>
      </c>
      <c r="B77" s="4">
        <v>744</v>
      </c>
      <c r="C77">
        <f t="shared" si="1"/>
        <v>135.1038528</v>
      </c>
    </row>
    <row r="78" spans="1:4" ht="15" thickBot="1" x14ac:dyDescent="0.4">
      <c r="A78" s="3">
        <v>44581.478391203702</v>
      </c>
      <c r="B78" s="4">
        <v>727</v>
      </c>
      <c r="C78">
        <f t="shared" si="1"/>
        <v>132.01680239999999</v>
      </c>
    </row>
    <row r="79" spans="1:4" ht="15" thickBot="1" x14ac:dyDescent="0.4">
      <c r="A79" s="3">
        <v>44581.48201388889</v>
      </c>
      <c r="B79" s="4">
        <v>754</v>
      </c>
      <c r="C79">
        <f t="shared" si="1"/>
        <v>136.9197648</v>
      </c>
    </row>
    <row r="80" spans="1:4" ht="15" thickBot="1" x14ac:dyDescent="0.4">
      <c r="A80" s="3">
        <v>44581.485636574071</v>
      </c>
      <c r="B80" s="4">
        <v>643</v>
      </c>
      <c r="C80">
        <f t="shared" si="1"/>
        <v>116.7631416</v>
      </c>
    </row>
    <row r="81" spans="1:4" ht="15" thickBot="1" x14ac:dyDescent="0.4">
      <c r="A81" s="3">
        <v>44581.489756944444</v>
      </c>
      <c r="B81" s="4">
        <v>656</v>
      </c>
      <c r="C81">
        <f t="shared" si="1"/>
        <v>119.12382719999998</v>
      </c>
    </row>
    <row r="82" spans="1:4" ht="15" thickBot="1" x14ac:dyDescent="0.4">
      <c r="A82" s="3">
        <v>44581.493379629632</v>
      </c>
      <c r="B82" s="4">
        <v>379</v>
      </c>
      <c r="C82">
        <f t="shared" si="1"/>
        <v>68.823064800000012</v>
      </c>
    </row>
    <row r="83" spans="1:4" ht="15" thickBot="1" x14ac:dyDescent="0.4">
      <c r="A83" s="3">
        <v>44581.497013888889</v>
      </c>
      <c r="B83" s="4">
        <v>789</v>
      </c>
      <c r="C83">
        <f t="shared" si="1"/>
        <v>143.27545679999997</v>
      </c>
    </row>
    <row r="84" spans="1:4" ht="15" thickBot="1" x14ac:dyDescent="0.4">
      <c r="A84" s="3">
        <v>44581.500636574077</v>
      </c>
      <c r="B84" s="4">
        <v>833</v>
      </c>
      <c r="C84">
        <f t="shared" si="1"/>
        <v>151.26546960000002</v>
      </c>
    </row>
    <row r="85" spans="1:4" ht="15" thickBot="1" x14ac:dyDescent="0.4">
      <c r="A85" s="3">
        <v>44581.506990740738</v>
      </c>
      <c r="B85" s="4">
        <v>859</v>
      </c>
      <c r="C85">
        <f t="shared" si="1"/>
        <v>155.98684080000001</v>
      </c>
    </row>
    <row r="86" spans="1:4" ht="15" thickBot="1" x14ac:dyDescent="0.4">
      <c r="A86" s="3">
        <v>44581.510613425926</v>
      </c>
      <c r="B86" s="4">
        <v>860</v>
      </c>
      <c r="C86">
        <f t="shared" si="1"/>
        <v>156.168432</v>
      </c>
    </row>
    <row r="87" spans="1:4" ht="15" thickBot="1" x14ac:dyDescent="0.4">
      <c r="A87" s="3">
        <v>44581.514247685183</v>
      </c>
      <c r="B87" s="4">
        <v>818</v>
      </c>
      <c r="C87">
        <f t="shared" si="1"/>
        <v>148.54160160000001</v>
      </c>
    </row>
    <row r="88" spans="1:4" ht="15" thickBot="1" x14ac:dyDescent="0.4">
      <c r="A88" s="3">
        <v>44581.517870370371</v>
      </c>
      <c r="B88" s="4">
        <v>845</v>
      </c>
      <c r="C88">
        <f t="shared" si="1"/>
        <v>153.44456399999999</v>
      </c>
      <c r="D88">
        <f>AVERAGE(C88:C99)</f>
        <v>133.2274104</v>
      </c>
    </row>
    <row r="89" spans="1:4" ht="15" thickBot="1" x14ac:dyDescent="0.4">
      <c r="A89" s="3">
        <v>44581.521493055552</v>
      </c>
      <c r="B89" s="4">
        <v>860</v>
      </c>
      <c r="C89">
        <f t="shared" si="1"/>
        <v>156.168432</v>
      </c>
    </row>
    <row r="90" spans="1:4" ht="15" thickBot="1" x14ac:dyDescent="0.4">
      <c r="A90" s="3">
        <v>44581.525127314817</v>
      </c>
      <c r="B90" s="4">
        <v>852</v>
      </c>
      <c r="C90">
        <f t="shared" si="1"/>
        <v>154.7157024</v>
      </c>
    </row>
    <row r="91" spans="1:4" ht="15" thickBot="1" x14ac:dyDescent="0.4">
      <c r="A91" s="3">
        <v>44581.528749999998</v>
      </c>
      <c r="B91" s="4">
        <v>880</v>
      </c>
      <c r="C91">
        <f t="shared" si="1"/>
        <v>159.80025599999999</v>
      </c>
    </row>
    <row r="92" spans="1:4" ht="15" thickBot="1" x14ac:dyDescent="0.4">
      <c r="A92" s="3">
        <v>44581.536030092589</v>
      </c>
      <c r="B92" s="4">
        <v>849</v>
      </c>
      <c r="C92">
        <f t="shared" si="1"/>
        <v>154.17092879999998</v>
      </c>
    </row>
    <row r="93" spans="1:4" ht="15" thickBot="1" x14ac:dyDescent="0.4">
      <c r="A93" s="3">
        <v>44581.539652777778</v>
      </c>
      <c r="B93" s="4">
        <v>836</v>
      </c>
      <c r="C93">
        <f t="shared" si="1"/>
        <v>151.8102432</v>
      </c>
    </row>
    <row r="94" spans="1:4" ht="15" thickBot="1" x14ac:dyDescent="0.4">
      <c r="A94" s="3">
        <v>44581.543287037035</v>
      </c>
      <c r="B94" s="4">
        <v>323</v>
      </c>
      <c r="C94">
        <f t="shared" si="1"/>
        <v>58.653957599999991</v>
      </c>
    </row>
    <row r="95" spans="1:4" ht="15" thickBot="1" x14ac:dyDescent="0.4">
      <c r="A95" s="3">
        <v>44581.546909722223</v>
      </c>
      <c r="B95" s="4">
        <v>355</v>
      </c>
      <c r="C95">
        <f t="shared" si="1"/>
        <v>64.464876000000004</v>
      </c>
    </row>
    <row r="96" spans="1:4" ht="15" thickBot="1" x14ac:dyDescent="0.4">
      <c r="A96" s="3">
        <v>44581.550532407404</v>
      </c>
      <c r="B96" s="4">
        <v>867</v>
      </c>
      <c r="C96">
        <f t="shared" si="1"/>
        <v>157.43957040000001</v>
      </c>
    </row>
    <row r="97" spans="1:4" ht="15" thickBot="1" x14ac:dyDescent="0.4">
      <c r="A97" s="3">
        <v>44581.554155092592</v>
      </c>
      <c r="B97" s="4">
        <v>880</v>
      </c>
      <c r="C97">
        <f t="shared" si="1"/>
        <v>159.80025599999999</v>
      </c>
    </row>
    <row r="98" spans="1:4" ht="15" thickBot="1" x14ac:dyDescent="0.4">
      <c r="A98" s="3">
        <v>44581.557800925926</v>
      </c>
      <c r="B98" s="4">
        <v>870</v>
      </c>
      <c r="C98">
        <f t="shared" si="1"/>
        <v>157.98434399999999</v>
      </c>
    </row>
    <row r="99" spans="1:4" ht="15" thickBot="1" x14ac:dyDescent="0.4">
      <c r="A99" s="3">
        <v>44581.561423611114</v>
      </c>
      <c r="B99" s="4">
        <v>387</v>
      </c>
      <c r="C99">
        <f t="shared" si="1"/>
        <v>70.275794399999995</v>
      </c>
    </row>
    <row r="100" spans="1:4" ht="15" thickBot="1" x14ac:dyDescent="0.4">
      <c r="A100" s="3">
        <v>44581.565057870372</v>
      </c>
      <c r="B100" s="4">
        <v>825</v>
      </c>
      <c r="C100">
        <f t="shared" si="1"/>
        <v>149.81273999999999</v>
      </c>
      <c r="D100">
        <f>AVERAGE(C100:C111)</f>
        <v>134.46828360000001</v>
      </c>
    </row>
    <row r="101" spans="1:4" ht="15" thickBot="1" x14ac:dyDescent="0.4">
      <c r="A101" s="3">
        <v>44581.568680555552</v>
      </c>
      <c r="B101" s="4">
        <v>338</v>
      </c>
      <c r="C101">
        <f t="shared" si="1"/>
        <v>61.377825599999994</v>
      </c>
    </row>
    <row r="102" spans="1:4" ht="15" thickBot="1" x14ac:dyDescent="0.4">
      <c r="A102" s="3">
        <v>44581.57230324074</v>
      </c>
      <c r="B102" s="4">
        <v>852</v>
      </c>
      <c r="C102">
        <f t="shared" si="1"/>
        <v>154.7157024</v>
      </c>
    </row>
    <row r="103" spans="1:4" ht="15" thickBot="1" x14ac:dyDescent="0.4">
      <c r="A103" s="3">
        <v>44581.575925925928</v>
      </c>
      <c r="B103" s="4">
        <v>865</v>
      </c>
      <c r="C103">
        <f t="shared" si="1"/>
        <v>157.07638799999998</v>
      </c>
    </row>
    <row r="104" spans="1:4" ht="15" thickBot="1" x14ac:dyDescent="0.4">
      <c r="A104" s="3">
        <v>44581.579560185186</v>
      </c>
      <c r="B104" s="4">
        <v>830</v>
      </c>
      <c r="C104">
        <f t="shared" si="1"/>
        <v>150.720696</v>
      </c>
    </row>
    <row r="105" spans="1:4" ht="15" thickBot="1" x14ac:dyDescent="0.4">
      <c r="A105" s="3">
        <v>44581.583182870374</v>
      </c>
      <c r="B105" s="4">
        <v>836</v>
      </c>
      <c r="C105">
        <f t="shared" si="1"/>
        <v>151.8102432</v>
      </c>
    </row>
    <row r="106" spans="1:4" ht="15" thickBot="1" x14ac:dyDescent="0.4">
      <c r="A106" s="3">
        <v>44581.586817129632</v>
      </c>
      <c r="B106" s="4">
        <v>807</v>
      </c>
      <c r="C106">
        <f t="shared" si="1"/>
        <v>146.5440984</v>
      </c>
    </row>
    <row r="107" spans="1:4" ht="15" thickBot="1" x14ac:dyDescent="0.4">
      <c r="A107" s="3">
        <v>44581.590439814812</v>
      </c>
      <c r="B107" s="4">
        <v>819</v>
      </c>
      <c r="C107">
        <f t="shared" si="1"/>
        <v>148.72319279999999</v>
      </c>
    </row>
    <row r="108" spans="1:4" ht="15" thickBot="1" x14ac:dyDescent="0.4">
      <c r="A108" s="3">
        <v>44581.5940625</v>
      </c>
      <c r="B108" s="4">
        <v>676</v>
      </c>
      <c r="C108">
        <f t="shared" si="1"/>
        <v>122.75565119999999</v>
      </c>
    </row>
    <row r="109" spans="1:4" ht="15" thickBot="1" x14ac:dyDescent="0.4">
      <c r="A109" s="3">
        <v>44581.597696759258</v>
      </c>
      <c r="B109" s="4">
        <v>750</v>
      </c>
      <c r="C109">
        <f t="shared" si="1"/>
        <v>136.1934</v>
      </c>
    </row>
    <row r="110" spans="1:4" ht="15" thickBot="1" x14ac:dyDescent="0.4">
      <c r="A110" s="3">
        <v>44581.601319444446</v>
      </c>
      <c r="B110" s="4">
        <v>642</v>
      </c>
      <c r="C110">
        <f t="shared" si="1"/>
        <v>116.58155040000001</v>
      </c>
    </row>
    <row r="111" spans="1:4" ht="15" thickBot="1" x14ac:dyDescent="0.4">
      <c r="A111" s="3">
        <v>44581.604942129627</v>
      </c>
      <c r="B111" s="4">
        <v>646</v>
      </c>
      <c r="C111">
        <f t="shared" si="1"/>
        <v>117.30791519999998</v>
      </c>
    </row>
    <row r="112" spans="1:4" ht="15" thickBot="1" x14ac:dyDescent="0.4">
      <c r="A112" s="3">
        <v>44581.608576388891</v>
      </c>
      <c r="B112" s="4">
        <v>264</v>
      </c>
      <c r="C112">
        <f t="shared" si="1"/>
        <v>47.9400768</v>
      </c>
      <c r="D112">
        <f>AVERAGE(C112:C123)</f>
        <v>76.782812399999997</v>
      </c>
    </row>
    <row r="113" spans="1:4" ht="15" thickBot="1" x14ac:dyDescent="0.4">
      <c r="A113" s="3">
        <v>44581.612199074072</v>
      </c>
      <c r="B113" s="4">
        <v>684</v>
      </c>
      <c r="C113">
        <f t="shared" si="1"/>
        <v>124.20838079999999</v>
      </c>
    </row>
    <row r="114" spans="1:4" ht="15" thickBot="1" x14ac:dyDescent="0.4">
      <c r="A114" s="3">
        <v>44581.61582175926</v>
      </c>
      <c r="B114" s="4">
        <v>324</v>
      </c>
      <c r="C114">
        <f t="shared" si="1"/>
        <v>58.835548799999998</v>
      </c>
    </row>
    <row r="115" spans="1:4" ht="15" thickBot="1" x14ac:dyDescent="0.4">
      <c r="A115" s="3">
        <v>44581.619456018518</v>
      </c>
      <c r="B115" s="4">
        <v>273</v>
      </c>
      <c r="C115">
        <f t="shared" si="1"/>
        <v>49.574397599999998</v>
      </c>
    </row>
    <row r="116" spans="1:4" ht="15" thickBot="1" x14ac:dyDescent="0.4">
      <c r="A116" s="3">
        <v>44581.623078703706</v>
      </c>
      <c r="B116" s="4">
        <v>288</v>
      </c>
      <c r="C116">
        <f t="shared" si="1"/>
        <v>52.298265600000001</v>
      </c>
    </row>
    <row r="117" spans="1:4" ht="15" thickBot="1" x14ac:dyDescent="0.4">
      <c r="A117" s="3">
        <v>44581.626701388886</v>
      </c>
      <c r="B117" s="4">
        <v>298</v>
      </c>
      <c r="C117">
        <f t="shared" si="1"/>
        <v>54.114177599999998</v>
      </c>
    </row>
    <row r="118" spans="1:4" ht="15" thickBot="1" x14ac:dyDescent="0.4">
      <c r="A118" s="3">
        <v>44581.630335648151</v>
      </c>
      <c r="B118" s="4">
        <v>324</v>
      </c>
      <c r="C118">
        <f t="shared" si="1"/>
        <v>58.835548799999998</v>
      </c>
    </row>
    <row r="119" spans="1:4" ht="15" thickBot="1" x14ac:dyDescent="0.4">
      <c r="A119" s="3">
        <v>44581.633958333332</v>
      </c>
      <c r="B119" s="4">
        <v>509</v>
      </c>
      <c r="C119">
        <f t="shared" si="1"/>
        <v>92.429920799999991</v>
      </c>
    </row>
    <row r="120" spans="1:4" ht="15" thickBot="1" x14ac:dyDescent="0.4">
      <c r="A120" s="3">
        <v>44581.637592592589</v>
      </c>
      <c r="B120" s="4">
        <v>556</v>
      </c>
      <c r="C120">
        <f t="shared" si="1"/>
        <v>100.96470719999999</v>
      </c>
    </row>
    <row r="121" spans="1:4" ht="15" thickBot="1" x14ac:dyDescent="0.4">
      <c r="A121" s="3">
        <v>44581.641215277778</v>
      </c>
      <c r="B121" s="4">
        <v>537</v>
      </c>
      <c r="C121">
        <f t="shared" si="1"/>
        <v>97.514474399999997</v>
      </c>
    </row>
    <row r="122" spans="1:4" ht="15" thickBot="1" x14ac:dyDescent="0.4">
      <c r="A122" s="3">
        <v>44581.644837962966</v>
      </c>
      <c r="B122" s="4">
        <v>524</v>
      </c>
      <c r="C122">
        <f t="shared" si="1"/>
        <v>95.153788800000001</v>
      </c>
    </row>
    <row r="123" spans="1:4" ht="15" thickBot="1" x14ac:dyDescent="0.4">
      <c r="A123" s="3">
        <v>44581.649884259263</v>
      </c>
      <c r="B123" s="4">
        <v>493</v>
      </c>
      <c r="C123">
        <f t="shared" si="1"/>
        <v>89.524461600000009</v>
      </c>
      <c r="D123">
        <f>AVERAGE(C123:C134)</f>
        <v>73.786557599999995</v>
      </c>
    </row>
    <row r="124" spans="1:4" ht="15" thickBot="1" x14ac:dyDescent="0.4">
      <c r="A124" s="3">
        <v>44581.653506944444</v>
      </c>
      <c r="B124" s="4">
        <v>478</v>
      </c>
      <c r="C124">
        <f t="shared" si="1"/>
        <v>86.800593599999999</v>
      </c>
    </row>
    <row r="125" spans="1:4" ht="15" thickBot="1" x14ac:dyDescent="0.4">
      <c r="A125" s="3">
        <v>44581.657916666663</v>
      </c>
      <c r="B125" s="4">
        <v>349</v>
      </c>
      <c r="C125">
        <f t="shared" si="1"/>
        <v>63.375328799999998</v>
      </c>
    </row>
    <row r="126" spans="1:4" ht="15" thickBot="1" x14ac:dyDescent="0.4">
      <c r="A126" s="3">
        <v>44581.661539351851</v>
      </c>
      <c r="B126" s="4">
        <v>493</v>
      </c>
      <c r="C126">
        <f t="shared" si="1"/>
        <v>89.524461600000009</v>
      </c>
    </row>
    <row r="127" spans="1:4" ht="15" thickBot="1" x14ac:dyDescent="0.4">
      <c r="A127" s="3">
        <v>44581.665173611109</v>
      </c>
      <c r="B127" s="4">
        <v>434</v>
      </c>
      <c r="C127">
        <f t="shared" si="1"/>
        <v>78.810580799999997</v>
      </c>
    </row>
    <row r="128" spans="1:4" ht="15" thickBot="1" x14ac:dyDescent="0.4">
      <c r="A128" s="3">
        <v>44581.668796296297</v>
      </c>
      <c r="B128" s="4">
        <v>426</v>
      </c>
      <c r="C128">
        <f t="shared" si="1"/>
        <v>77.357851199999999</v>
      </c>
    </row>
    <row r="129" spans="1:4" ht="15" thickBot="1" x14ac:dyDescent="0.4">
      <c r="A129" s="3">
        <v>44581.672418981485</v>
      </c>
      <c r="B129" s="4">
        <v>393</v>
      </c>
      <c r="C129">
        <f t="shared" si="1"/>
        <v>71.365341599999994</v>
      </c>
    </row>
    <row r="130" spans="1:4" ht="15" thickBot="1" x14ac:dyDescent="0.4">
      <c r="A130" s="3">
        <v>44581.676053240742</v>
      </c>
      <c r="B130" s="4">
        <v>413</v>
      </c>
      <c r="C130">
        <f t="shared" si="1"/>
        <v>74.997165599999988</v>
      </c>
    </row>
    <row r="131" spans="1:4" ht="15" thickBot="1" x14ac:dyDescent="0.4">
      <c r="A131" s="3">
        <v>44581.679675925923</v>
      </c>
      <c r="B131" s="4">
        <v>391</v>
      </c>
      <c r="C131">
        <f t="shared" si="1"/>
        <v>71.002159199999994</v>
      </c>
    </row>
    <row r="132" spans="1:4" ht="15" thickBot="1" x14ac:dyDescent="0.4">
      <c r="A132" s="3">
        <v>44581.683298611111</v>
      </c>
      <c r="B132" s="4">
        <v>368</v>
      </c>
      <c r="C132">
        <f t="shared" si="1"/>
        <v>66.8255616</v>
      </c>
    </row>
    <row r="133" spans="1:4" ht="15" thickBot="1" x14ac:dyDescent="0.4">
      <c r="A133" s="3">
        <v>44581.686932870369</v>
      </c>
      <c r="B133" s="4">
        <v>319</v>
      </c>
      <c r="C133">
        <f t="shared" si="1"/>
        <v>57.927592799999999</v>
      </c>
    </row>
    <row r="134" spans="1:4" ht="15" thickBot="1" x14ac:dyDescent="0.4">
      <c r="A134" s="3">
        <v>44581.690555555557</v>
      </c>
      <c r="B134" s="4">
        <v>319</v>
      </c>
      <c r="C134">
        <f t="shared" ref="C134:C161" si="2">B134*1513.26*0.12/1000</f>
        <v>57.927592799999999</v>
      </c>
    </row>
    <row r="135" spans="1:4" ht="15" thickBot="1" x14ac:dyDescent="0.4">
      <c r="A135" s="3">
        <v>44581.694178240738</v>
      </c>
      <c r="B135" s="4">
        <v>297</v>
      </c>
      <c r="C135">
        <f t="shared" si="2"/>
        <v>53.932586399999991</v>
      </c>
      <c r="D135">
        <f>AVERAGE(C135:C146)</f>
        <v>39.390157799999997</v>
      </c>
    </row>
    <row r="136" spans="1:4" ht="15" thickBot="1" x14ac:dyDescent="0.4">
      <c r="A136" s="3">
        <v>44581.697812500002</v>
      </c>
      <c r="B136" s="4">
        <v>284</v>
      </c>
      <c r="C136">
        <f t="shared" si="2"/>
        <v>51.571900800000002</v>
      </c>
    </row>
    <row r="137" spans="1:4" ht="15" thickBot="1" x14ac:dyDescent="0.4">
      <c r="A137" s="3">
        <v>44581.701435185183</v>
      </c>
      <c r="B137" s="4">
        <v>250</v>
      </c>
      <c r="C137">
        <f t="shared" si="2"/>
        <v>45.397799999999997</v>
      </c>
    </row>
    <row r="138" spans="1:4" ht="15" thickBot="1" x14ac:dyDescent="0.4">
      <c r="A138" s="3">
        <v>44581.705057870371</v>
      </c>
      <c r="B138" s="4">
        <v>265</v>
      </c>
      <c r="C138">
        <f t="shared" si="2"/>
        <v>48.121668</v>
      </c>
    </row>
    <row r="139" spans="1:4" ht="15" thickBot="1" x14ac:dyDescent="0.4">
      <c r="A139" s="3">
        <v>44581.708692129629</v>
      </c>
      <c r="B139" s="4">
        <v>251</v>
      </c>
      <c r="C139">
        <f t="shared" si="2"/>
        <v>45.579391199999996</v>
      </c>
    </row>
    <row r="140" spans="1:4" ht="15" thickBot="1" x14ac:dyDescent="0.4">
      <c r="A140" s="3">
        <v>44581.712314814817</v>
      </c>
      <c r="B140" s="4">
        <v>239</v>
      </c>
      <c r="C140">
        <f t="shared" si="2"/>
        <v>43.4002968</v>
      </c>
    </row>
    <row r="141" spans="1:4" ht="15" thickBot="1" x14ac:dyDescent="0.4">
      <c r="A141" s="3">
        <v>44581.715937499997</v>
      </c>
      <c r="B141" s="4">
        <v>219</v>
      </c>
      <c r="C141">
        <f t="shared" si="2"/>
        <v>39.768472799999998</v>
      </c>
    </row>
    <row r="142" spans="1:4" ht="15" thickBot="1" x14ac:dyDescent="0.4">
      <c r="A142" s="3">
        <v>44581.719571759262</v>
      </c>
      <c r="B142" s="4">
        <v>199</v>
      </c>
      <c r="C142">
        <f t="shared" si="2"/>
        <v>36.136648799999996</v>
      </c>
    </row>
    <row r="143" spans="1:4" ht="15" thickBot="1" x14ac:dyDescent="0.4">
      <c r="A143" s="3">
        <v>44581.723194444443</v>
      </c>
      <c r="B143" s="4">
        <v>181</v>
      </c>
      <c r="C143">
        <f t="shared" si="2"/>
        <v>32.868007200000001</v>
      </c>
    </row>
    <row r="144" spans="1:4" ht="15" thickBot="1" x14ac:dyDescent="0.4">
      <c r="A144" s="3">
        <v>44581.726817129631</v>
      </c>
      <c r="B144" s="4">
        <v>166</v>
      </c>
      <c r="C144">
        <f t="shared" si="2"/>
        <v>30.144139199999998</v>
      </c>
    </row>
    <row r="145" spans="1:4" ht="15" thickBot="1" x14ac:dyDescent="0.4">
      <c r="A145" s="3">
        <v>44581.730451388888</v>
      </c>
      <c r="B145" s="4">
        <v>144</v>
      </c>
      <c r="C145">
        <f t="shared" si="2"/>
        <v>26.1491328</v>
      </c>
    </row>
    <row r="146" spans="1:4" ht="15" thickBot="1" x14ac:dyDescent="0.4">
      <c r="A146" s="3">
        <v>44581.734074074076</v>
      </c>
      <c r="B146" s="4">
        <v>108</v>
      </c>
      <c r="C146">
        <f t="shared" si="2"/>
        <v>19.611849599999999</v>
      </c>
    </row>
    <row r="147" spans="1:4" ht="15" thickBot="1" x14ac:dyDescent="0.4">
      <c r="A147" s="3">
        <v>44581.737696759257</v>
      </c>
      <c r="B147" s="4">
        <v>102</v>
      </c>
      <c r="C147">
        <f t="shared" si="2"/>
        <v>18.522302399999997</v>
      </c>
      <c r="D147">
        <f>AVERAGE(C147:C158)</f>
        <v>10.305300599999999</v>
      </c>
    </row>
    <row r="148" spans="1:4" ht="15" thickBot="1" x14ac:dyDescent="0.4">
      <c r="A148" s="3">
        <v>44581.741331018522</v>
      </c>
      <c r="B148" s="4">
        <v>94</v>
      </c>
      <c r="C148">
        <f t="shared" si="2"/>
        <v>17.0695728</v>
      </c>
    </row>
    <row r="149" spans="1:4" ht="15" thickBot="1" x14ac:dyDescent="0.4">
      <c r="A149" s="3">
        <v>44581.744953703703</v>
      </c>
      <c r="B149" s="4">
        <v>83</v>
      </c>
      <c r="C149">
        <f t="shared" si="2"/>
        <v>15.072069599999999</v>
      </c>
    </row>
    <row r="150" spans="1:4" ht="15" thickBot="1" x14ac:dyDescent="0.4">
      <c r="A150" s="3">
        <v>44581.74858796296</v>
      </c>
      <c r="B150" s="4">
        <v>79</v>
      </c>
      <c r="C150">
        <f t="shared" si="2"/>
        <v>14.3457048</v>
      </c>
    </row>
    <row r="151" spans="1:4" ht="15" thickBot="1" x14ac:dyDescent="0.4">
      <c r="A151" s="3">
        <v>44581.752210648148</v>
      </c>
      <c r="B151" s="4">
        <v>68</v>
      </c>
      <c r="C151">
        <f t="shared" si="2"/>
        <v>12.348201599999998</v>
      </c>
    </row>
    <row r="152" spans="1:4" ht="15" thickBot="1" x14ac:dyDescent="0.4">
      <c r="A152" s="3">
        <v>44581.755833333336</v>
      </c>
      <c r="B152" s="4">
        <v>60</v>
      </c>
      <c r="C152">
        <f t="shared" si="2"/>
        <v>10.895472</v>
      </c>
    </row>
    <row r="153" spans="1:4" ht="15" thickBot="1" x14ac:dyDescent="0.4">
      <c r="A153" s="3">
        <v>44581.759467592594</v>
      </c>
      <c r="B153" s="4">
        <v>54</v>
      </c>
      <c r="C153">
        <f t="shared" si="2"/>
        <v>9.8059247999999997</v>
      </c>
    </row>
    <row r="154" spans="1:4" ht="15" thickBot="1" x14ac:dyDescent="0.4">
      <c r="A154" s="3">
        <v>44581.763090277775</v>
      </c>
      <c r="B154" s="4">
        <v>42</v>
      </c>
      <c r="C154">
        <f t="shared" si="2"/>
        <v>7.6268304000000002</v>
      </c>
    </row>
    <row r="155" spans="1:4" ht="15" thickBot="1" x14ac:dyDescent="0.4">
      <c r="A155" s="3">
        <v>44581.766712962963</v>
      </c>
      <c r="B155" s="4">
        <v>37</v>
      </c>
      <c r="C155">
        <f t="shared" si="2"/>
        <v>6.7188743999999998</v>
      </c>
    </row>
    <row r="156" spans="1:4" ht="15" thickBot="1" x14ac:dyDescent="0.4">
      <c r="A156" s="3">
        <v>44581.77034722222</v>
      </c>
      <c r="B156" s="4">
        <v>27</v>
      </c>
      <c r="C156">
        <f t="shared" si="2"/>
        <v>4.9029623999999998</v>
      </c>
    </row>
    <row r="157" spans="1:4" ht="15" thickBot="1" x14ac:dyDescent="0.4">
      <c r="A157" s="3">
        <v>44581.773969907408</v>
      </c>
      <c r="B157" s="4">
        <v>21</v>
      </c>
      <c r="C157">
        <f t="shared" si="2"/>
        <v>3.8134152000000001</v>
      </c>
    </row>
    <row r="158" spans="1:4" ht="15" thickBot="1" x14ac:dyDescent="0.4">
      <c r="A158" s="3">
        <v>44581.777592592596</v>
      </c>
      <c r="B158" s="4">
        <v>14</v>
      </c>
      <c r="C158">
        <f t="shared" si="2"/>
        <v>2.5422767999999998</v>
      </c>
    </row>
    <row r="159" spans="1:4" ht="15" thickBot="1" x14ac:dyDescent="0.4">
      <c r="A159" s="3">
        <v>44581.781226851854</v>
      </c>
      <c r="B159" s="4">
        <v>10</v>
      </c>
      <c r="C159">
        <f t="shared" si="2"/>
        <v>1.815912</v>
      </c>
      <c r="D159">
        <f>AVERAGE(C159:C170)</f>
        <v>1.0895471999999999</v>
      </c>
    </row>
    <row r="160" spans="1:4" ht="15" thickBot="1" x14ac:dyDescent="0.4">
      <c r="A160" s="3">
        <v>44581.784849537034</v>
      </c>
      <c r="B160" s="4">
        <v>7</v>
      </c>
      <c r="C160">
        <f t="shared" si="2"/>
        <v>1.2711383999999999</v>
      </c>
    </row>
    <row r="161" spans="1:3" ht="15" thickBot="1" x14ac:dyDescent="0.4">
      <c r="A161" s="3">
        <v>44581.788472222222</v>
      </c>
      <c r="B161" s="4">
        <v>1</v>
      </c>
      <c r="C161">
        <f t="shared" si="2"/>
        <v>0.18159119999999998</v>
      </c>
    </row>
  </sheetData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Power_vs_Irradiance_rpt_20Jan20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MP</dc:creator>
  <cp:lastModifiedBy>MP</cp:lastModifiedBy>
  <dcterms:created xsi:type="dcterms:W3CDTF">2022-10-14T05:55:29Z</dcterms:created>
  <dcterms:modified xsi:type="dcterms:W3CDTF">2023-02-03T01:14:30Z</dcterms:modified>
</cp:coreProperties>
</file>